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Kertas Kerja Cash Flow" sheetId="1" state="visible" r:id="rId1"/>
    <sheet name="Neraca (Balance Sheet)" sheetId="2" state="visible" r:id="rId2"/>
    <sheet name="Laba Rugi (Income Statemen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25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4"/>
    </font>
    <font>
      <name val="Calibri"/>
      <family val="2"/>
      <b val="1"/>
      <color rgb="FF595959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1F4E78"/>
      <sz val="11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i val="1"/>
      <color rgb="FF595959"/>
      <sz val="9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Arial"/>
      <family val="2"/>
      <i val="1"/>
      <color rgb="FF1F1F1F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i val="1"/>
      <color theme="1"/>
      <sz val="11"/>
    </font>
    <font>
      <name val="Arial"/>
      <family val="2"/>
      <i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i val="1"/>
      <color rgb="FF595959"/>
      <sz val="9"/>
    </font>
    <font>
      <name val="Calibri"/>
      <b val="1"/>
    </font>
    <font>
      <name val="Calibri"/>
      <i val="1"/>
      <sz val="9"/>
    </font>
    <font>
      <name val="Arial"/>
      <b val="1"/>
    </font>
    <font>
      <name val="Arial"/>
      <b val="1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2">
    <xf numFmtId="0" fontId="8" fillId="0" borderId="4"/>
    <xf numFmtId="41" fontId="8" fillId="0" borderId="4"/>
  </cellStyleXfs>
  <cellXfs count="8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1" fontId="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41" fontId="5" fillId="4" borderId="2" applyAlignment="1" pivotButton="0" quotePrefix="0" xfId="0">
      <alignment horizontal="right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horizontal="right" vertical="center"/>
    </xf>
    <xf numFmtId="0" fontId="7" fillId="0" borderId="4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41" fontId="5" fillId="3" borderId="2" applyAlignment="1" pivotButton="0" quotePrefix="0" xfId="0">
      <alignment horizontal="right" vertical="center"/>
    </xf>
    <xf numFmtId="41" fontId="5" fillId="0" borderId="1" applyAlignment="1" pivotButton="0" quotePrefix="0" xfId="0">
      <alignment horizontal="right" vertical="center"/>
    </xf>
    <xf numFmtId="41" fontId="5" fillId="4" borderId="3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41" fontId="5" fillId="5" borderId="1" applyAlignment="1" pivotButton="0" quotePrefix="0" xfId="0">
      <alignment horizontal="right" vertical="center"/>
    </xf>
    <xf numFmtId="0" fontId="4" fillId="3" borderId="1" pivotButton="0" quotePrefix="0" xfId="0"/>
    <xf numFmtId="0" fontId="0" fillId="3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41" fontId="5" fillId="0" borderId="2" applyAlignment="1" pivotButton="0" quotePrefix="0" xfId="0">
      <alignment horizontal="right" vertical="center"/>
    </xf>
    <xf numFmtId="41" fontId="5" fillId="0" borderId="3" applyAlignment="1" pivotButton="0" quotePrefix="0" xfId="0">
      <alignment horizontal="right" vertical="center"/>
    </xf>
    <xf numFmtId="164" fontId="0" fillId="0" borderId="0" pivotButton="0" quotePrefix="0" xfId="0"/>
    <xf numFmtId="41" fontId="0" fillId="0" borderId="0" pivotButton="0" quotePrefix="0" xfId="0"/>
    <xf numFmtId="15" fontId="3" fillId="2" borderId="1" applyAlignment="1" pivotButton="0" quotePrefix="0" xfId="0">
      <alignment horizontal="center" vertical="center"/>
    </xf>
    <xf numFmtId="164" fontId="0" fillId="0" borderId="0" pivotButton="0" quotePrefix="0" xfId="1"/>
    <xf numFmtId="0" fontId="11" fillId="0" borderId="5" applyAlignment="1" pivotButton="0" quotePrefix="0" xfId="0">
      <alignment horizontal="left" vertical="center" indent="1" readingOrder="1"/>
    </xf>
    <xf numFmtId="0" fontId="10" fillId="0" borderId="5" applyAlignment="1" pivotButton="0" quotePrefix="0" xfId="0">
      <alignment horizontal="left" vertical="center" indent="1" readingOrder="1"/>
    </xf>
    <xf numFmtId="3" fontId="10" fillId="0" borderId="5" applyAlignment="1" pivotButton="0" quotePrefix="0" xfId="0">
      <alignment horizontal="left" vertical="center" indent="1" readingOrder="1"/>
    </xf>
    <xf numFmtId="3" fontId="11" fillId="0" borderId="5" applyAlignment="1" pivotButton="0" quotePrefix="0" xfId="0">
      <alignment horizontal="left" vertical="center" indent="1" readingOrder="1"/>
    </xf>
    <xf numFmtId="0" fontId="12" fillId="0" borderId="5" applyAlignment="1" pivotButton="0" quotePrefix="0" xfId="0">
      <alignment horizontal="left" vertical="center" indent="1" readingOrder="1"/>
    </xf>
    <xf numFmtId="0" fontId="6" fillId="6" borderId="1" applyAlignment="1" pivotButton="0" quotePrefix="0" xfId="0">
      <alignment horizontal="left" vertical="center"/>
    </xf>
    <xf numFmtId="41" fontId="0" fillId="6" borderId="1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2"/>
    </xf>
    <xf numFmtId="0" fontId="13" fillId="0" borderId="0" applyAlignment="1" pivotButton="0" quotePrefix="0" xfId="0">
      <alignment horizontal="left" vertical="center" indent="2"/>
    </xf>
    <xf numFmtId="0" fontId="17" fillId="0" borderId="0" pivotButton="0" quotePrefix="0" xfId="0"/>
    <xf numFmtId="41" fontId="0" fillId="0" borderId="7" applyAlignment="1" pivotButton="0" quotePrefix="0" xfId="0">
      <alignment horizontal="right" vertical="center"/>
    </xf>
    <xf numFmtId="41" fontId="0" fillId="0" borderId="6" applyAlignment="1" pivotButton="0" quotePrefix="0" xfId="0">
      <alignment horizontal="right" vertical="center"/>
    </xf>
    <xf numFmtId="0" fontId="18" fillId="0" borderId="0" pivotButton="0" quotePrefix="0" xfId="0"/>
    <xf numFmtId="164" fontId="0" fillId="0" borderId="8" pivotButton="0" quotePrefix="0" xfId="1"/>
    <xf numFmtId="0" fontId="9" fillId="0" borderId="0" pivotButton="0" quotePrefix="0" xfId="0"/>
    <xf numFmtId="0" fontId="5" fillId="0" borderId="4" pivotButton="0" quotePrefix="0" xfId="0"/>
    <xf numFmtId="41" fontId="0" fillId="0" borderId="9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0" fontId="1" fillId="0" borderId="4" pivotButton="0" quotePrefix="0" xfId="0"/>
    <xf numFmtId="0" fontId="7" fillId="0" borderId="4" pivotButton="0" quotePrefix="0" xfId="0"/>
    <xf numFmtId="41" fontId="8" fillId="0" borderId="1" applyAlignment="1" pivotButton="0" quotePrefix="0" xfId="0">
      <alignment horizontal="right" vertical="center"/>
    </xf>
    <xf numFmtId="41" fontId="5" fillId="4" borderId="2" applyAlignment="1" pivotButton="0" quotePrefix="0" xfId="0">
      <alignment horizontal="right" vertical="center"/>
    </xf>
    <xf numFmtId="3" fontId="22" fillId="0" borderId="5" applyAlignment="1" pivotButton="0" quotePrefix="0" xfId="0">
      <alignment horizontal="left" vertical="center" indent="1" readingOrder="1"/>
    </xf>
    <xf numFmtId="41" fontId="5" fillId="3" borderId="2" applyAlignment="1" pivotButton="0" quotePrefix="0" xfId="0">
      <alignment horizontal="right" vertical="center"/>
    </xf>
    <xf numFmtId="41" fontId="5" fillId="5" borderId="1" applyAlignment="1" pivotButton="0" quotePrefix="0" xfId="0">
      <alignment horizontal="right" vertical="center"/>
    </xf>
    <xf numFmtId="0" fontId="23" fillId="0" borderId="0" pivotButton="0" quotePrefix="0" xfId="0"/>
    <xf numFmtId="0" fontId="24" fillId="0" borderId="0" pivotButton="0" quotePrefix="0" xfId="0"/>
    <xf numFmtId="41" fontId="0" fillId="0" borderId="1" applyAlignment="1" pivotButton="0" quotePrefix="0" xfId="0">
      <alignment horizontal="right" vertical="center"/>
    </xf>
    <xf numFmtId="0" fontId="19" fillId="0" borderId="0" pivotButton="0" quotePrefix="0" xfId="0"/>
    <xf numFmtId="41" fontId="5" fillId="0" borderId="2" applyAlignment="1" pivotButton="0" quotePrefix="0" xfId="0">
      <alignment horizontal="right" vertical="center"/>
    </xf>
    <xf numFmtId="41" fontId="5" fillId="0" borderId="3" applyAlignment="1" pivotButton="0" quotePrefix="0" xfId="0">
      <alignment horizontal="right" vertical="center"/>
    </xf>
    <xf numFmtId="0" fontId="20" fillId="0" borderId="0" pivotButton="0" quotePrefix="0" xfId="0"/>
    <xf numFmtId="41" fontId="0" fillId="0" borderId="0" pivotButton="0" quotePrefix="0" xfId="0"/>
    <xf numFmtId="0" fontId="21" fillId="0" borderId="0" pivotButton="0" quotePrefix="0" xfId="0"/>
    <xf numFmtId="164" fontId="0" fillId="0" borderId="0" pivotButton="0" quotePrefix="0" xfId="1"/>
    <xf numFmtId="164" fontId="8" fillId="0" borderId="4" pivotButton="0" quotePrefix="0" xfId="0"/>
    <xf numFmtId="164" fontId="0" fillId="0" borderId="8" pivotButton="0" quotePrefix="0" xfId="1"/>
    <xf numFmtId="164" fontId="8" fillId="0" borderId="8" pivotButton="0" quotePrefix="0" xfId="0"/>
    <xf numFmtId="164" fontId="0" fillId="0" borderId="0" pivotButton="0" quotePrefix="0" xfId="0"/>
    <xf numFmtId="41" fontId="8" fillId="0" borderId="4" pivotButton="0" quotePrefix="0" xfId="0"/>
    <xf numFmtId="41" fontId="0" fillId="0" borderId="6" applyAlignment="1" pivotButton="0" quotePrefix="0" xfId="0">
      <alignment horizontal="right" vertical="center"/>
    </xf>
    <xf numFmtId="41" fontId="8" fillId="0" borderId="6" applyAlignment="1" pivotButton="0" quotePrefix="0" xfId="0">
      <alignment horizontal="right" vertical="center"/>
    </xf>
    <xf numFmtId="41" fontId="0" fillId="0" borderId="9" applyAlignment="1" pivotButton="0" quotePrefix="0" xfId="0">
      <alignment horizontal="right" vertical="center"/>
    </xf>
    <xf numFmtId="41" fontId="0" fillId="0" borderId="7" applyAlignment="1" pivotButton="0" quotePrefix="0" xfId="0">
      <alignment horizontal="right" vertical="center"/>
    </xf>
    <xf numFmtId="41" fontId="8" fillId="0" borderId="7" applyAlignment="1" pivotButton="0" quotePrefix="0" xfId="0">
      <alignment horizontal="right" vertical="center"/>
    </xf>
  </cellXfs>
  <cellStyles count="2">
    <cellStyle name="Normal" xfId="0" builtinId="0"/>
    <cellStyle name="Comma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65" customWidth="1" min="2" max="2"/>
    <col width="25" customWidth="1" min="3" max="3"/>
    <col width="45" customWidth="1" min="4" max="4"/>
    <col width="3" customWidth="1" min="6" max="6"/>
    <col width="20" customWidth="1" min="7" max="7"/>
    <col width="62" customWidth="1" min="8" max="8"/>
  </cols>
  <sheetData>
    <row r="1">
      <c r="A1" s="62" t="inlineStr">
        <is>
          <t>PT BUKIT JAYA SEMESTA</t>
        </is>
      </c>
    </row>
    <row r="2">
      <c r="A2" s="62" t="inlineStr">
        <is>
          <t>KERTAS KERJA LAPORAN ARUS KAS (STATEMENT OF CASH FLOWS)</t>
        </is>
      </c>
    </row>
    <row r="3">
      <c r="A3" s="62" t="inlineStr">
        <is>
          <t>Untuk Periode yang Berakhir pada 31 Desember 2024</t>
        </is>
      </c>
    </row>
    <row r="4">
      <c r="A4" s="63" t="inlineStr">
        <is>
          <t>(Saling Terhubung dengan Laporan Posisi Keuangan &amp; Laba Rugi)</t>
        </is>
      </c>
    </row>
    <row r="6">
      <c r="A6" s="5" t="inlineStr">
        <is>
          <t>No</t>
        </is>
      </c>
      <c r="B6" s="5" t="inlineStr">
        <is>
          <t>Keterangan / Pos-Pos Arus Kas</t>
        </is>
      </c>
      <c r="C6" s="5" t="inlineStr">
        <is>
          <t>Jumlah (Rp)</t>
        </is>
      </c>
      <c r="D6" s="5" t="inlineStr">
        <is>
          <t>Sumber Link / Referensi Formula</t>
        </is>
      </c>
      <c r="G6" s="41" t="inlineStr">
        <is>
          <t>Jumlah (IDR)</t>
        </is>
      </c>
      <c r="H6" s="41" t="inlineStr">
        <is>
          <t>Keterangan</t>
        </is>
      </c>
    </row>
    <row r="7">
      <c r="A7" s="7" t="inlineStr">
        <is>
          <t>A</t>
        </is>
      </c>
      <c r="B7" s="7" t="inlineStr">
        <is>
          <t>ARUS KAS DARI AKTIVITAS OPERASI</t>
        </is>
      </c>
      <c r="C7" s="7" t="n"/>
      <c r="D7" s="7" t="n"/>
      <c r="H7" s="41" t="inlineStr">
        <is>
          <t>1. ARUS KAS DARI AKTIVITAS OPERASI</t>
        </is>
      </c>
    </row>
    <row r="8">
      <c r="B8" s="10" t="inlineStr">
        <is>
          <t>Laba Bersih Tahun Berjalan</t>
        </is>
      </c>
      <c r="C8" s="64">
        <f>'Laba Rugi (Income Statement)'!B26</f>
        <v/>
      </c>
      <c r="D8" s="10" t="inlineStr">
        <is>
          <t>Laba Rugi - Net Income 2024</t>
        </is>
      </c>
      <c r="G8" s="43">
        <f>'Laba Rugi (Income Statement)'!B20</f>
        <v/>
      </c>
      <c r="H8" s="42" t="inlineStr">
        <is>
          <t>Laba Sebelum Pajak (Income Before Tax)</t>
        </is>
      </c>
    </row>
    <row r="9">
      <c r="B9" s="13" t="inlineStr">
        <is>
          <t>Penyesuaian untuk Merekonsiliasi Laba Bersih:</t>
        </is>
      </c>
      <c r="H9" s="41" t="inlineStr">
        <is>
          <t>Penyesuaian untuk:</t>
        </is>
      </c>
    </row>
    <row r="10">
      <c r="B10" s="10" t="inlineStr">
        <is>
          <t xml:space="preserve">  Beban Penyusutan Aset Tetap</t>
        </is>
      </c>
      <c r="C10" s="64">
        <f>'Neraca (Balance Sheet)'!D23</f>
        <v/>
      </c>
      <c r="D10" s="10" t="inlineStr">
        <is>
          <t>Neraca - Selisih Akumulasi Penyusutan</t>
        </is>
      </c>
      <c r="G10" s="43">
        <f>C10</f>
        <v/>
      </c>
      <c r="H10" s="42" t="inlineStr">
        <is>
          <t>• Penyusutan Aset Tetap</t>
        </is>
      </c>
    </row>
    <row r="11">
      <c r="B11" s="10" t="inlineStr">
        <is>
          <t xml:space="preserve">  Penghasilan Komprehensif Lain (non-kas)</t>
        </is>
      </c>
      <c r="C11" s="64">
        <f>'Laba Rugi (Income Statement)'!B32</f>
        <v/>
      </c>
      <c r="D11" s="10" t="inlineStr">
        <is>
          <t>Laba Rugi - Total OCI</t>
        </is>
      </c>
      <c r="G11" s="43">
        <f>-'Laba Rugi (Income Statement)'!B17</f>
        <v/>
      </c>
      <c r="H11" s="42" t="inlineStr">
        <is>
          <t>• Beban Keuangan (Finance Expense)</t>
        </is>
      </c>
    </row>
    <row r="12">
      <c r="B12" s="10" t="inlineStr">
        <is>
          <t xml:space="preserve">  Penyesuaian Saldo Laba (selisih Neraca vs Laba Rugi)</t>
        </is>
      </c>
      <c r="C12" s="64">
        <f>-'Neraca (Balance Sheet)'!D66-'Laba Rugi (Income Statement)'!B45</f>
        <v/>
      </c>
      <c r="D12" s="10" t="inlineStr">
        <is>
          <t>Neraca Saldo Laba - Laba Komprehensif Mayoritas</t>
        </is>
      </c>
      <c r="G12" s="43">
        <f>-'Laba Rugi (Income Statement)'!B16</f>
        <v/>
      </c>
      <c r="H12" s="42" t="inlineStr">
        <is>
          <t>• Pendapatan Bunga / Keuangan</t>
        </is>
      </c>
    </row>
    <row r="13">
      <c r="B13" s="10" t="inlineStr">
        <is>
          <t xml:space="preserve">  (Kenaikan) Penurunan Aset Pajak Tangguhan</t>
        </is>
      </c>
      <c r="C13" s="64">
        <f>'Neraca (Balance Sheet)'!D30</f>
        <v/>
      </c>
      <c r="D13" s="10" t="inlineStr">
        <is>
          <t>Neraca - Selisih Aset Pajak Tangguhan</t>
        </is>
      </c>
      <c r="G13" s="43">
        <f>C11+C12</f>
        <v/>
      </c>
      <c r="H13" s="42" t="inlineStr">
        <is>
          <t>• Penghasilan Komprehensif Lain &amp; Penyesuaian Saldo Laba</t>
        </is>
      </c>
    </row>
    <row r="14">
      <c r="B14" s="13" t="inlineStr">
        <is>
          <t>Perubahan dalam Aset dan Liabilitas Operasi:</t>
        </is>
      </c>
      <c r="H14" s="41" t="inlineStr">
        <is>
          <t>Perubahan Modal Kerja:</t>
        </is>
      </c>
    </row>
    <row r="15">
      <c r="B15" s="10" t="inlineStr">
        <is>
          <t xml:space="preserve">  (Kenaikan) Penurunan Restricted Cash</t>
        </is>
      </c>
      <c r="C15" s="64">
        <f>'Neraca (Balance Sheet)'!D9</f>
        <v/>
      </c>
      <c r="D15" s="10" t="inlineStr">
        <is>
          <t>Neraca - Selisih Restricted Cash</t>
        </is>
      </c>
      <c r="G15" s="43">
        <f>C15</f>
        <v/>
      </c>
      <c r="H15" s="42" t="inlineStr">
        <is>
          <t>• (Kenaikan) Penurunan Restricted Cash</t>
        </is>
      </c>
    </row>
    <row r="16">
      <c r="B16" s="10" t="inlineStr">
        <is>
          <t xml:space="preserve">  (Kenaikan) Penurunan Piutang Usaha - Bersih</t>
        </is>
      </c>
      <c r="C16" s="64">
        <f>'Neraca (Balance Sheet)'!D10</f>
        <v/>
      </c>
      <c r="D16" s="10" t="inlineStr">
        <is>
          <t>Neraca - Selisih Piutang Usaha - Bersih</t>
        </is>
      </c>
      <c r="G16" s="43">
        <f>C16</f>
        <v/>
      </c>
      <c r="H16" s="42" t="inlineStr">
        <is>
          <t>• (Kenaikan) Penurunan Piutang Usaha - Bersih</t>
        </is>
      </c>
    </row>
    <row r="17">
      <c r="B17" s="10" t="inlineStr">
        <is>
          <t xml:space="preserve">  (Kenaikan) Penurunan Piutang Lain-lain - Pihak Ketiga</t>
        </is>
      </c>
      <c r="C17" s="64">
        <f>'Neraca (Balance Sheet)'!D11</f>
        <v/>
      </c>
      <c r="D17" s="10" t="inlineStr">
        <is>
          <t>Neraca - Selisih Piutang Lain-lain - Pihak Ketiga</t>
        </is>
      </c>
      <c r="G17" s="43">
        <f>C17</f>
        <v/>
      </c>
      <c r="H17" s="42" t="inlineStr">
        <is>
          <t>• (Kenaikan) Penurunan Piutang Lain-lain - Pihak Ketiga</t>
        </is>
      </c>
    </row>
    <row r="18">
      <c r="B18" s="10" t="inlineStr">
        <is>
          <t xml:space="preserve">  (Kenaikan) Penurunan Piutang Lain-lain - Pihak Berelasi</t>
        </is>
      </c>
      <c r="C18" s="64">
        <f>'Neraca (Balance Sheet)'!D12</f>
        <v/>
      </c>
      <c r="D18" s="10" t="inlineStr">
        <is>
          <t>Neraca - Selisih Piutang Lain-lain - Pihak Berelasi</t>
        </is>
      </c>
      <c r="G18" s="43">
        <f>C18</f>
        <v/>
      </c>
      <c r="H18" s="42" t="inlineStr">
        <is>
          <t>• (Kenaikan) Penurunan Piutang Lain-lain - Pihak Berelasi</t>
        </is>
      </c>
    </row>
    <row r="19">
      <c r="B19" s="10" t="inlineStr">
        <is>
          <t xml:space="preserve">  (Kenaikan) Penurunan Pajak Dibayar di Muka</t>
        </is>
      </c>
      <c r="C19" s="64">
        <f>'Neraca (Balance Sheet)'!D13</f>
        <v/>
      </c>
      <c r="D19" s="10" t="inlineStr">
        <is>
          <t>Neraca - Selisih Pajak Dibayar di Muka</t>
        </is>
      </c>
      <c r="G19" s="43">
        <f>C19</f>
        <v/>
      </c>
      <c r="H19" s="42" t="inlineStr">
        <is>
          <t>• (Kenaikan) Penurunan Pajak Dibayar di Muka</t>
        </is>
      </c>
    </row>
    <row r="20">
      <c r="B20" s="10" t="inlineStr">
        <is>
          <t xml:space="preserve">  (Kenaikan) Penurunan Uang Muka</t>
        </is>
      </c>
      <c r="C20" s="64">
        <f>'Neraca (Balance Sheet)'!D14</f>
        <v/>
      </c>
      <c r="D20" s="10" t="inlineStr">
        <is>
          <t>Neraca - Selisih Uang Muka</t>
        </is>
      </c>
      <c r="G20" s="43">
        <f>C20</f>
        <v/>
      </c>
      <c r="H20" s="42" t="inlineStr">
        <is>
          <t>• (Kenaikan) Penurunan Uang Muka</t>
        </is>
      </c>
    </row>
    <row r="21">
      <c r="B21" s="10" t="inlineStr">
        <is>
          <t xml:space="preserve">  (Kenaikan) Penurunan Persediaan</t>
        </is>
      </c>
      <c r="C21" s="64">
        <f>'Neraca (Balance Sheet)'!D15</f>
        <v/>
      </c>
      <c r="D21" s="10" t="inlineStr">
        <is>
          <t>Neraca - Selisih Persediaan</t>
        </is>
      </c>
      <c r="G21" s="43">
        <f>C21</f>
        <v/>
      </c>
      <c r="H21" s="42" t="inlineStr">
        <is>
          <t>• (Kenaikan) Penurunan Persediaan</t>
        </is>
      </c>
    </row>
    <row r="22">
      <c r="B22" s="10" t="inlineStr">
        <is>
          <t xml:space="preserve">  (Kenaikan) Penurunan Biaya Dibayar di Muka</t>
        </is>
      </c>
      <c r="C22" s="64">
        <f>'Neraca (Balance Sheet)'!D16</f>
        <v/>
      </c>
      <c r="D22" s="10" t="inlineStr">
        <is>
          <t>Neraca - Selisih Biaya Dibayar di Muka</t>
        </is>
      </c>
      <c r="G22" s="43">
        <f>C22</f>
        <v/>
      </c>
      <c r="H22" s="42" t="inlineStr">
        <is>
          <t>• (Kenaikan) Penurunan Biaya Dibayar di Muka</t>
        </is>
      </c>
    </row>
    <row r="23">
      <c r="B23" s="10" t="inlineStr">
        <is>
          <t xml:space="preserve">  (Kenaikan) Penurunan Persediaan Biologis</t>
        </is>
      </c>
      <c r="C23" s="64">
        <f>'Neraca (Balance Sheet)'!D17</f>
        <v/>
      </c>
      <c r="D23" s="10" t="inlineStr">
        <is>
          <t>Neraca - Selisih Persediaan Biologis</t>
        </is>
      </c>
      <c r="G23" s="43">
        <f>C23</f>
        <v/>
      </c>
      <c r="H23" s="42" t="inlineStr">
        <is>
          <t>• (Kenaikan) Penurunan Persediaan Biologis</t>
        </is>
      </c>
    </row>
    <row r="24">
      <c r="B24" s="10" t="inlineStr">
        <is>
          <t xml:space="preserve">  (Kenaikan) Penurunan Estimasi Klaim Pajak</t>
        </is>
      </c>
      <c r="C24" s="64">
        <f>'Neraca (Balance Sheet)'!D26</f>
        <v/>
      </c>
      <c r="D24" s="10" t="inlineStr">
        <is>
          <t>Neraca - Selisih Estimasi Klaim Pajak</t>
        </is>
      </c>
      <c r="G24" s="43">
        <f>C24</f>
        <v/>
      </c>
      <c r="H24" s="42" t="inlineStr">
        <is>
          <t>• (Kenaikan) Penurunan Estimasi Klaim Pajak</t>
        </is>
      </c>
    </row>
    <row r="25">
      <c r="B25" s="10" t="inlineStr">
        <is>
          <t xml:space="preserve">  Kenaikan (Penurunan) Utang Usaha</t>
        </is>
      </c>
      <c r="C25" s="64">
        <f>-'Neraca (Balance Sheet)'!D39</f>
        <v/>
      </c>
      <c r="D25" s="10" t="inlineStr">
        <is>
          <t>Neraca - ( - Selisih Utang Usaha )</t>
        </is>
      </c>
      <c r="G25" s="43">
        <f>C25</f>
        <v/>
      </c>
      <c r="H25" s="42" t="inlineStr">
        <is>
          <t>• Kenaikan (Penurunan) Utang Usaha</t>
        </is>
      </c>
    </row>
    <row r="26">
      <c r="B26" s="10" t="inlineStr">
        <is>
          <t xml:space="preserve">  Kenaikan (Penurunan) Utang Pajak</t>
        </is>
      </c>
      <c r="C26" s="64">
        <f>-'Neraca (Balance Sheet)'!D40</f>
        <v/>
      </c>
      <c r="D26" s="10" t="inlineStr">
        <is>
          <t>Neraca - ( - Selisih Utang Pajak )</t>
        </is>
      </c>
      <c r="G26" s="43">
        <f>C26</f>
        <v/>
      </c>
      <c r="H26" s="42" t="inlineStr">
        <is>
          <t>• Kenaikan (Penurunan) Utang Pajak</t>
        </is>
      </c>
    </row>
    <row r="27">
      <c r="B27" s="10" t="inlineStr">
        <is>
          <t xml:space="preserve">  Kenaikan (Penurunan) Uang Muka Penjualan</t>
        </is>
      </c>
      <c r="C27" s="64">
        <f>-'Neraca (Balance Sheet)'!D41</f>
        <v/>
      </c>
      <c r="D27" s="10" t="inlineStr">
        <is>
          <t>Neraca - ( - Selisih Uang Muka Penjualan )</t>
        </is>
      </c>
      <c r="G27" s="43">
        <f>C27</f>
        <v/>
      </c>
      <c r="H27" s="42" t="inlineStr">
        <is>
          <t>• Kenaikan (Penurunan) Uang Muka Penjualan</t>
        </is>
      </c>
    </row>
    <row r="28">
      <c r="B28" s="10" t="inlineStr">
        <is>
          <t xml:space="preserve">  Kenaikan (Penurunan) Biaya Masih Harus Dibayar</t>
        </is>
      </c>
      <c r="C28" s="64">
        <f>-'Neraca (Balance Sheet)'!D42</f>
        <v/>
      </c>
      <c r="D28" s="10" t="inlineStr">
        <is>
          <t>Neraca - ( - Selisih Biaya Masih Harus Dibayar )</t>
        </is>
      </c>
      <c r="G28" s="43">
        <f>C28</f>
        <v/>
      </c>
      <c r="H28" s="42" t="inlineStr">
        <is>
          <t>• Kenaikan (Penurunan) Biaya Masih Harus Dibayar</t>
        </is>
      </c>
    </row>
    <row r="29">
      <c r="B29" s="10" t="inlineStr">
        <is>
          <t xml:space="preserve">  Kenaikan (Penurunan) Imbalan Kerja Jangka Pendek</t>
        </is>
      </c>
      <c r="C29" s="64">
        <f>-'Neraca (Balance Sheet)'!D43</f>
        <v/>
      </c>
      <c r="D29" s="10" t="inlineStr">
        <is>
          <t>Neraca - ( - Selisih Imbalan Kerja Jangka Pendek )</t>
        </is>
      </c>
      <c r="G29" s="43">
        <f>C29</f>
        <v/>
      </c>
      <c r="H29" s="42" t="inlineStr">
        <is>
          <t>• Kenaikan (Penurunan) Imbalan Kerja Jangka Pendek</t>
        </is>
      </c>
    </row>
    <row r="30">
      <c r="B30" s="10" t="inlineStr">
        <is>
          <t xml:space="preserve">  Kenaikan (Penurunan) Utang Lain-lain - Pihak Ketiga</t>
        </is>
      </c>
      <c r="C30" s="64">
        <f>-'Neraca (Balance Sheet)'!D44</f>
        <v/>
      </c>
      <c r="D30" s="10" t="inlineStr">
        <is>
          <t>Neraca - ( - Selisih Utang Lain-lain - Pihak Ketiga )</t>
        </is>
      </c>
      <c r="G30" s="43">
        <f>C30</f>
        <v/>
      </c>
      <c r="H30" s="42" t="inlineStr">
        <is>
          <t>• Kenaikan (Penurunan) Utang Lain-lain - Pihak Ketiga</t>
        </is>
      </c>
    </row>
    <row r="31">
      <c r="B31" s="10" t="inlineStr">
        <is>
          <t xml:space="preserve">  Kenaikan (Penurunan) Utang Lain-lain - Pihak Berelasi</t>
        </is>
      </c>
      <c r="C31" s="64">
        <f>-'Neraca (Balance Sheet)'!D45</f>
        <v/>
      </c>
      <c r="D31" s="10" t="inlineStr">
        <is>
          <t>Neraca - ( - Selisih Utang Lain-lain - Pihak Berelasi )</t>
        </is>
      </c>
      <c r="G31" s="43">
        <f>C31</f>
        <v/>
      </c>
      <c r="H31" s="42" t="inlineStr">
        <is>
          <t>• Kenaikan (Penurunan) Utang Lain-lain - Pihak Berelasi</t>
        </is>
      </c>
    </row>
    <row r="32">
      <c r="B32" s="10" t="inlineStr">
        <is>
          <t xml:space="preserve">  Kenaikan (Penurunan) Imbalan Kerja Karyawan Jangka Panjang</t>
        </is>
      </c>
      <c r="C32" s="64">
        <f>-'Neraca (Balance Sheet)'!D51</f>
        <v/>
      </c>
      <c r="D32" s="10" t="inlineStr">
        <is>
          <t>Neraca - ( - Selisih Imbalan Kerja Karyawan Jangka Panjang )</t>
        </is>
      </c>
      <c r="G32" s="43">
        <f>C32</f>
        <v/>
      </c>
      <c r="H32" s="42" t="inlineStr">
        <is>
          <t>• Kenaikan (Penurunan) Imbalan Kerja Karyawan Jangka Panjang</t>
        </is>
      </c>
    </row>
    <row r="33">
      <c r="A33" s="16" t="n"/>
      <c r="B33" s="16" t="inlineStr">
        <is>
          <t>Kas Bersih Diperoleh dari Aktivitas Operasi</t>
        </is>
      </c>
      <c r="C33" s="65">
        <f>SUM(C8,C10,C11,C12,C13,C15,C16,C17,C18,C19,C20,C21,C22,C23,C24,C25,C26,C27,C28,C29,C30,C31,C32)</f>
        <v/>
      </c>
      <c r="D33" s="16" t="inlineStr">
        <is>
          <t>Total Arus Kas Operasi</t>
        </is>
      </c>
      <c r="G33" s="43">
        <f>'Laba Rugi (Income Statement)'!B25</f>
        <v/>
      </c>
      <c r="H33" s="42" t="inlineStr">
        <is>
          <t>• Beban Pajak Penghasilan (Kini &amp; Tangguhan)</t>
        </is>
      </c>
    </row>
    <row r="34">
      <c r="G34" s="43">
        <f>C13</f>
        <v/>
      </c>
      <c r="H34" s="42" t="inlineStr">
        <is>
          <t>• (Kenaikan) Penurunan Aset Pajak Tangguhan</t>
        </is>
      </c>
    </row>
    <row r="35">
      <c r="A35" s="7" t="inlineStr">
        <is>
          <t>B</t>
        </is>
      </c>
      <c r="B35" s="7" t="inlineStr">
        <is>
          <t>ARUS KAS DARI AKTIVITAS INVESTASI</t>
        </is>
      </c>
      <c r="C35" s="7" t="n"/>
      <c r="D35" s="7" t="n"/>
      <c r="G35" s="43">
        <f>'Laba Rugi (Income Statement)'!B16</f>
        <v/>
      </c>
      <c r="H35" s="42" t="inlineStr">
        <is>
          <t>• Penerimaan Pendapatan Bunga / Keuangan</t>
        </is>
      </c>
    </row>
    <row r="36">
      <c r="B36" s="10" t="inlineStr">
        <is>
          <t>Perolehan Aset Tetap (Harga Perolehan)</t>
        </is>
      </c>
      <c r="C36" s="64">
        <f>'Neraca (Balance Sheet)'!D22</f>
        <v/>
      </c>
      <c r="D36" s="10" t="inlineStr">
        <is>
          <t>Neraca - Selisih Harga Perolehan Aset Tetap</t>
        </is>
      </c>
      <c r="G36" s="66">
        <f>SUM(G8,G10,G11,G12,G13,G15,G16,G17,G18,G19,G20,G21,G22,G23,G24,G25,G26,G27,G28,G29,G30,G31,G32,G33,G34,G35)</f>
        <v/>
      </c>
      <c r="H36" s="41" t="inlineStr">
        <is>
          <t>Kas Bersih Diperoleh dari Aktivitas Operasi</t>
        </is>
      </c>
    </row>
    <row r="37">
      <c r="B37" s="10" t="inlineStr">
        <is>
          <t>Uang Muka Pembelian Aset Tetap</t>
        </is>
      </c>
      <c r="C37" s="64">
        <f>'Neraca (Balance Sheet)'!D25</f>
        <v/>
      </c>
      <c r="D37" s="10" t="inlineStr">
        <is>
          <t>Neraca - Selisih Uang Muka Pembelian AT</t>
        </is>
      </c>
    </row>
    <row r="38">
      <c r="B38" s="10" t="inlineStr">
        <is>
          <t>Penambahan Tanaman Belum Menghasilkan</t>
        </is>
      </c>
      <c r="C38" s="64">
        <f>'Neraca (Balance Sheet)'!D31</f>
        <v/>
      </c>
      <c r="D38" s="10" t="inlineStr">
        <is>
          <t>Neraca - Selisih TBM Bibit Durian</t>
        </is>
      </c>
      <c r="H38" s="41" t="inlineStr">
        <is>
          <t>2. ARUS KAS DARI AKTIVITAS INVESTASI</t>
        </is>
      </c>
    </row>
    <row r="39">
      <c r="B39" s="10" t="inlineStr">
        <is>
          <t>Penambahan HTI</t>
        </is>
      </c>
      <c r="C39" s="64">
        <f>'Neraca (Balance Sheet)'!D29</f>
        <v/>
      </c>
      <c r="D39" s="10" t="inlineStr">
        <is>
          <t>Neraca - Selisih HTI</t>
        </is>
      </c>
      <c r="G39" s="43">
        <f>C36</f>
        <v/>
      </c>
      <c r="H39" s="42" t="inlineStr">
        <is>
          <t>• Perolehan Aset Tetap (Harga Perolehan)</t>
        </is>
      </c>
    </row>
    <row r="40">
      <c r="B40" s="10" t="inlineStr">
        <is>
          <t>Pembelian / Penambahan Aset Lainnya</t>
        </is>
      </c>
      <c r="C40" s="64">
        <f>'Neraca (Balance Sheet)'!D32</f>
        <v/>
      </c>
      <c r="D40" s="10" t="inlineStr">
        <is>
          <t>Neraca - Selisih Aset Lainnya</t>
        </is>
      </c>
      <c r="G40" s="43">
        <f>C37</f>
        <v/>
      </c>
      <c r="H40" s="42" t="inlineStr">
        <is>
          <t>• Uang Muka Pembelian Aset Tetap</t>
        </is>
      </c>
    </row>
    <row r="41">
      <c r="B41" s="10" t="inlineStr">
        <is>
          <t>Piutang Pihak Berelasi (Jangka Panjang)</t>
        </is>
      </c>
      <c r="C41" s="64">
        <f>'Neraca (Balance Sheet)'!D27</f>
        <v/>
      </c>
      <c r="D41" s="10" t="inlineStr">
        <is>
          <t>Neraca - Selisih Piutang Pihak Berelasi</t>
        </is>
      </c>
      <c r="G41" s="43">
        <f>C38</f>
        <v/>
      </c>
      <c r="H41" s="42" t="inlineStr">
        <is>
          <t>• Penambahan Tanaman Belum Menghasilkan</t>
        </is>
      </c>
    </row>
    <row r="42">
      <c r="B42" s="10" t="inlineStr">
        <is>
          <t>Penambahan Investasi (setelah eliminasi laba belum terealisasi)</t>
        </is>
      </c>
      <c r="C42" s="64">
        <f>'Neraca (Balance Sheet)'!D28-'Neraca (Balance Sheet)'!D60</f>
        <v/>
      </c>
      <c r="D42" s="10" t="inlineStr">
        <is>
          <t>Neraca - Selisih Investment - Selisih Laba belum terealisasi Colorpak (non-kas)</t>
        </is>
      </c>
      <c r="G42" s="43">
        <f>C39</f>
        <v/>
      </c>
      <c r="H42" s="42" t="inlineStr">
        <is>
          <t>• Penambahan HTI</t>
        </is>
      </c>
    </row>
    <row r="43">
      <c r="A43" s="16" t="n"/>
      <c r="B43" s="16" t="inlineStr">
        <is>
          <t>Kas Bersih Digunakan untuk Aktivitas Investasi</t>
        </is>
      </c>
      <c r="C43" s="65">
        <f>SUM(C36,C37,C38,C39,C40,C41,C42)</f>
        <v/>
      </c>
      <c r="D43" s="16" t="inlineStr">
        <is>
          <t>Total Arus Kas Investasi</t>
        </is>
      </c>
      <c r="G43" s="43">
        <f>C40</f>
        <v/>
      </c>
      <c r="H43" s="42" t="inlineStr">
        <is>
          <t>• Pembelian / Penambahan Aset Lainnya</t>
        </is>
      </c>
    </row>
    <row r="44">
      <c r="G44" s="43">
        <f>C41</f>
        <v/>
      </c>
      <c r="H44" s="42" t="inlineStr">
        <is>
          <t>• Piutang Pihak Berelasi (Jangka Panjang)</t>
        </is>
      </c>
    </row>
    <row r="45">
      <c r="A45" s="7" t="inlineStr">
        <is>
          <t>C</t>
        </is>
      </c>
      <c r="B45" s="7" t="inlineStr">
        <is>
          <t>ARUS KAS DARI AKTIVITAS PENDANAAN</t>
        </is>
      </c>
      <c r="C45" s="7" t="n"/>
      <c r="D45" s="7" t="n"/>
      <c r="G45" s="43">
        <f>C42</f>
        <v/>
      </c>
      <c r="H45" s="42" t="inlineStr">
        <is>
          <t>• Penambahan Investasi (setelah eliminasi laba belum terealisasi)</t>
        </is>
      </c>
    </row>
    <row r="46">
      <c r="B46" s="10" t="inlineStr">
        <is>
          <t>Kenaikan (Penurunan) Utang Bank Jangka Pendek</t>
        </is>
      </c>
      <c r="C46" s="64">
        <f>-'Neraca (Balance Sheet)'!D38</f>
        <v/>
      </c>
      <c r="D46" s="10" t="inlineStr">
        <is>
          <t>Neraca - ( - Selisih Utang Bank JP )</t>
        </is>
      </c>
      <c r="G46" s="66">
        <f>SUM(G39,G40,G41,G42,G43,G44,G45)</f>
        <v/>
      </c>
      <c r="H46" s="41" t="inlineStr">
        <is>
          <t>Kas Bersih Digunakan untuk Aktivitas Investasi</t>
        </is>
      </c>
    </row>
    <row r="47">
      <c r="B47" s="10" t="inlineStr">
        <is>
          <t>Kenaikan (Penurunan) Utang Bank Jangka Panjang</t>
        </is>
      </c>
      <c r="C47" s="64">
        <f>-'Neraca (Balance Sheet)'!D52</f>
        <v/>
      </c>
      <c r="D47" s="10" t="inlineStr">
        <is>
          <t>Neraca - ( - Selisih Utang Bank Panjang )</t>
        </is>
      </c>
    </row>
    <row r="48">
      <c r="B48" s="10" t="inlineStr">
        <is>
          <t>Kenaikan (Penurunan) Utang Pihak Berelasi Jangka Pendek</t>
        </is>
      </c>
      <c r="C48" s="64">
        <f>-'Neraca (Balance Sheet)'!D46</f>
        <v/>
      </c>
      <c r="D48" s="10" t="inlineStr">
        <is>
          <t>Neraca - ( - Selisih Utang Berelasi JP )</t>
        </is>
      </c>
      <c r="H48" s="41" t="inlineStr">
        <is>
          <t>3. ARUS KAS DARI AKTIVITAS PENDANAAN</t>
        </is>
      </c>
    </row>
    <row r="49">
      <c r="B49" s="10" t="inlineStr">
        <is>
          <t>Pembayaran Utang Pihak Berelasi Jangka Panjang</t>
        </is>
      </c>
      <c r="C49" s="64">
        <f>-'Neraca (Balance Sheet)'!D53</f>
        <v/>
      </c>
      <c r="D49" s="10" t="inlineStr">
        <is>
          <t>Neraca - ( - Selisih Utang Berelasi Panjang )</t>
        </is>
      </c>
      <c r="G49" s="43">
        <f>C46</f>
        <v/>
      </c>
      <c r="H49" s="42" t="inlineStr">
        <is>
          <t>• Kenaikan (Penurunan) Utang Bank Jangka Pendek</t>
        </is>
      </c>
    </row>
    <row r="50">
      <c r="B50" s="10" t="inlineStr">
        <is>
          <t>Pembayaran Liabilitas Sewa</t>
        </is>
      </c>
      <c r="C50" s="64">
        <f>-('Neraca (Balance Sheet)'!D47+'Neraca (Balance Sheet)'!D54)</f>
        <v/>
      </c>
      <c r="D50" s="10" t="inlineStr">
        <is>
          <t>Neraca - Total Selisih Liabilitas Sewa</t>
        </is>
      </c>
      <c r="G50" s="43">
        <f>C47</f>
        <v/>
      </c>
      <c r="H50" s="42" t="inlineStr">
        <is>
          <t>• Kenaikan (Penurunan) Utang Bank Jangka Panjang</t>
        </is>
      </c>
    </row>
    <row r="51">
      <c r="B51" s="10" t="inlineStr">
        <is>
          <t>Setoran Modal / Tambahan Modal Disetor</t>
        </is>
      </c>
      <c r="C51" s="64">
        <f>-('Neraca (Balance Sheet)'!D59+'Neraca (Balance Sheet)'!D61)</f>
        <v/>
      </c>
      <c r="D51" s="10" t="inlineStr">
        <is>
          <t>Neraca - ( - Selisih Modal &amp; Tambahan Modal )</t>
        </is>
      </c>
      <c r="G51" s="43">
        <f>C48</f>
        <v/>
      </c>
      <c r="H51" s="42" t="inlineStr">
        <is>
          <t>• Kenaikan (Penurunan) Utang Pihak Berelasi Jangka Pendek</t>
        </is>
      </c>
    </row>
    <row r="52">
      <c r="B52" s="10" t="inlineStr">
        <is>
          <t>Kenaikan Akun Stress (Ekuitas Lainnya)</t>
        </is>
      </c>
      <c r="C52" s="64">
        <f>-'Neraca (Balance Sheet)'!D62</f>
        <v/>
      </c>
      <c r="D52" s="10" t="inlineStr">
        <is>
          <t>Neraca - ( - Selisih Stress )</t>
        </is>
      </c>
      <c r="G52" s="43">
        <f>C49</f>
        <v/>
      </c>
      <c r="H52" s="42" t="inlineStr">
        <is>
          <t>• Pembayaran Utang Pihak Berelasi Jangka Panjang</t>
        </is>
      </c>
    </row>
    <row r="53">
      <c r="B53" s="10" t="inlineStr">
        <is>
          <t>Penerimaan Setoran / Kenaikan NCI Net (di luar bagian laba NCI)</t>
        </is>
      </c>
      <c r="C53" s="64">
        <f>-'Neraca (Balance Sheet)'!D67-'Laba Rugi (Income Statement)'!B36-'Laba Rugi (Income Statement)'!B43</f>
        <v/>
      </c>
      <c r="D53" s="10" t="inlineStr">
        <is>
          <t>Neraca - Selisih NCI dikurangi NCI atas Laba &amp; OCI</t>
        </is>
      </c>
      <c r="G53" s="43">
        <f>C50</f>
        <v/>
      </c>
      <c r="H53" s="42" t="inlineStr">
        <is>
          <t>• Pembayaran Liabilitas Sewa</t>
        </is>
      </c>
    </row>
    <row r="54">
      <c r="A54" s="16" t="n"/>
      <c r="B54" s="16" t="inlineStr">
        <is>
          <t>Kas Bersih Diperoleh dari Aktivitas Pendanaan</t>
        </is>
      </c>
      <c r="C54" s="65">
        <f>SUM(C46,C47,C48,C49,C50,C51,C52,C53)</f>
        <v/>
      </c>
      <c r="D54" s="16" t="inlineStr">
        <is>
          <t>Total Arus Kas Pendanaan</t>
        </is>
      </c>
      <c r="G54" s="43">
        <f>C51</f>
        <v/>
      </c>
      <c r="H54" s="42" t="inlineStr">
        <is>
          <t>• Setoran Modal / Tambahan Modal Disetor</t>
        </is>
      </c>
    </row>
    <row r="55">
      <c r="G55" s="43">
        <f>C52</f>
        <v/>
      </c>
      <c r="H55" s="42" t="inlineStr">
        <is>
          <t>• Kenaikan Akun Stress (Ekuitas Lainnya)</t>
        </is>
      </c>
    </row>
    <row r="56">
      <c r="A56" s="23" t="n"/>
      <c r="B56" s="23" t="inlineStr">
        <is>
          <t>KENAIKAN (PENURUNAN) BERSIH KAS DAN SETARA KAS</t>
        </is>
      </c>
      <c r="C56" s="67">
        <f>C33+C43+C54</f>
        <v/>
      </c>
      <c r="D56" s="23" t="inlineStr">
        <is>
          <t>Arus Kas (A + B + C)</t>
        </is>
      </c>
      <c r="G56" s="43">
        <f>C53</f>
        <v/>
      </c>
      <c r="H56" s="42" t="inlineStr">
        <is>
          <t>• Penerimaan Setoran / Kenaikan NCI Net (di luar bagian laba NCI)</t>
        </is>
      </c>
    </row>
    <row r="57">
      <c r="B57" s="13" t="inlineStr">
        <is>
          <t>KAS DAN SETARA KAS AWAL PERIODE (31-DES-2023)</t>
        </is>
      </c>
      <c r="C57" s="65">
        <f>'Neraca (Balance Sheet)'!C8</f>
        <v/>
      </c>
      <c r="D57" s="10" t="inlineStr">
        <is>
          <t>Neraca - Kas &amp; Setara Kas 2023</t>
        </is>
      </c>
      <c r="G57" s="43">
        <f>'Laba Rugi (Income Statement)'!B17</f>
        <v/>
      </c>
      <c r="H57" s="42" t="inlineStr">
        <is>
          <t>• Pembayaran Beban Keuangan / Bunga</t>
        </is>
      </c>
    </row>
    <row r="58">
      <c r="A58" s="16" t="n"/>
      <c r="B58" s="16" t="inlineStr">
        <is>
          <t>KAS DAN SETARA KAS AKHIR PERIODE (31-DES-2024)</t>
        </is>
      </c>
      <c r="C58" s="65">
        <f>C56+C57</f>
        <v/>
      </c>
      <c r="D58" s="16" t="inlineStr">
        <is>
          <t>Kas Akhir (Sama dengan Neraca 2024)</t>
        </is>
      </c>
      <c r="G58" s="66">
        <f>SUM(G49,G50,G51,G52,G53,G54,G55,G56,G57)</f>
        <v/>
      </c>
      <c r="H58" s="41" t="inlineStr">
        <is>
          <t>Kas Bersih Diperoleh dari Aktivitas Pendanaan</t>
        </is>
      </c>
    </row>
    <row r="59">
      <c r="A59" s="28" t="n"/>
      <c r="B59" s="28" t="inlineStr">
        <is>
          <t>VERIFIKASI / CEK SELISIH DENGAN NERACA 2024</t>
        </is>
      </c>
      <c r="C59" s="68">
        <f>C58-'Neraca (Balance Sheet)'!B8</f>
        <v/>
      </c>
      <c r="D59" s="28" t="inlineStr">
        <is>
          <t>Harus 0 (Balance)</t>
        </is>
      </c>
    </row>
    <row r="60">
      <c r="G60" s="66">
        <f>G36+G46+G58</f>
        <v/>
      </c>
      <c r="H60" s="41" t="inlineStr">
        <is>
          <t>KENAIKAN / (PENURUNAN) BERSIH KAS DAN SETARA KAS</t>
        </is>
      </c>
    </row>
    <row r="61">
      <c r="G61" s="66">
        <f>'Neraca (Balance Sheet)'!C8</f>
        <v/>
      </c>
      <c r="H61" s="41" t="inlineStr">
        <is>
          <t>Kas dan Setara Kas Awal Tahun (31 Desember 2023)</t>
        </is>
      </c>
    </row>
    <row r="62">
      <c r="G62" s="66">
        <f>G60+G61</f>
        <v/>
      </c>
      <c r="H62" s="41" t="inlineStr">
        <is>
          <t>Kas dan Setara Kas Akhir Tahun (31 Desember 2024)</t>
        </is>
      </c>
    </row>
    <row r="63">
      <c r="G63" s="66">
        <f>G62-'Neraca (Balance Sheet)'!B8+(G62-C58)</f>
        <v/>
      </c>
      <c r="H63" s="41" t="inlineStr">
        <is>
          <t>Cek: Selisih dengan Neraca 2024 &amp; dengan Kertas Kerja (harus 0)</t>
        </is>
      </c>
    </row>
    <row r="66">
      <c r="B66" s="69" t="inlineStr">
        <is>
          <t>Catatan:</t>
        </is>
      </c>
    </row>
    <row r="67">
      <c r="B67" s="70" t="inlineStr">
        <is>
          <t>1. Sumber data: Neraca &amp; Laba Rugi 31-Des-2024 dari template.xlsx; 31-Des-2023 dari WS_Consol_PT_Bukit_Jaya_Semesta_2023.xlsx (sheet WBS WPL Consol, kolom CONSOLIDATED).</t>
        </is>
      </c>
    </row>
    <row r="68">
      <c r="B68" s="70" t="inlineStr">
        <is>
          <t>2. Kenaikan Investment mengandung laba belum terealisasi PT Colorpak Indonesia Tbk (non-kas) yang dieliminasi terhadap ekuitas; nilainya:</t>
        </is>
      </c>
      <c r="C68" s="64">
        <f>-'Neraca (Balance Sheet)'!D60</f>
        <v/>
      </c>
    </row>
    <row r="69">
      <c r="B69" s="70" t="inlineStr">
        <is>
          <t>3. Penyesuaian saldo laba = Selisih Saldo Laba di Neraca dikurangi Laba Komprehensif Mayoritas di Laba Rugi (idealnya 0 / pembulatan).</t>
        </is>
      </c>
    </row>
    <row r="70">
      <c r="B70" s="70" t="inlineStr">
        <is>
          <t>4. Arus kas tahun 2023 tidak disusun karena file sumber tidak memuat Neraca 31-Des-2022 (kolom tahun pembanding bernilai 0).</t>
        </is>
      </c>
    </row>
    <row r="71">
      <c r="B71" s="70" t="inlineStr">
        <is>
          <t>5. File SalesByOrderStatus (order Sep-2026) tidak digunakan: periode &amp; entitasnya di luar laporan konsolidasi 2024-2023.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"/>
  <sheetViews>
    <sheetView topLeftCell="A52" workbookViewId="0">
      <selection activeCell="D62" sqref="D62"/>
    </sheetView>
  </sheetViews>
  <sheetFormatPr baseColWidth="8" defaultRowHeight="15"/>
  <cols>
    <col width="45" customWidth="1" min="1" max="1"/>
    <col width="22" customWidth="1" min="2" max="4"/>
    <col width="22" customWidth="1" min="3" max="3"/>
    <col width="22" customWidth="1" min="4" max="4"/>
    <col width="42" customWidth="1" min="5" max="5"/>
  </cols>
  <sheetData>
    <row r="1" ht="18.75" customHeight="1">
      <c r="A1" s="1" t="inlineStr">
        <is>
          <t>PT BUKIT JAYA SEMESTA</t>
        </is>
      </c>
    </row>
    <row r="2">
      <c r="A2" s="2" t="inlineStr">
        <is>
          <t>LAPORAN POSISI KEUANGAN (NERACA)</t>
        </is>
      </c>
    </row>
    <row r="3">
      <c r="A3" s="2" t="inlineStr">
        <is>
          <t>Per 31 Desember 2024 dan 2023</t>
        </is>
      </c>
    </row>
    <row r="5" ht="24.95" customHeight="1">
      <c r="A5" s="5" t="inlineStr">
        <is>
          <t>Account / Pos Keuangan</t>
        </is>
      </c>
      <c r="B5" s="4" t="inlineStr">
        <is>
          <t>31-Dec-24</t>
        </is>
      </c>
      <c r="C5" s="39" t="inlineStr">
        <is>
          <t>31-Dec-23</t>
        </is>
      </c>
      <c r="D5" s="4" t="inlineStr">
        <is>
          <t>Selisih / Perubahan</t>
        </is>
      </c>
      <c r="E5" s="4" t="inlineStr">
        <is>
          <t>Referensi 2023 (WBS WPL Consol)</t>
        </is>
      </c>
    </row>
    <row r="6" ht="18.95" customHeight="1">
      <c r="A6" s="30" t="inlineStr">
        <is>
          <t>ASET</t>
        </is>
      </c>
      <c r="B6" s="31" t="n"/>
      <c r="C6" s="31" t="n"/>
      <c r="D6" s="31" t="n"/>
    </row>
    <row r="7" ht="18.95" customHeight="1">
      <c r="A7" s="32" t="inlineStr">
        <is>
          <t>ASET LANCAR</t>
        </is>
      </c>
      <c r="B7" s="33" t="n"/>
      <c r="C7" s="33" t="n"/>
      <c r="D7" s="33" t="n"/>
    </row>
    <row r="8" ht="18.95" customHeight="1">
      <c r="A8" s="34" t="inlineStr">
        <is>
          <t>Kas kecil</t>
        </is>
      </c>
      <c r="B8" s="71" t="n">
        <v>49663124528</v>
      </c>
      <c r="C8" s="71" t="n">
        <v>24203301123</v>
      </c>
      <c r="D8" s="71">
        <f>C8-B8</f>
        <v/>
      </c>
      <c r="E8" s="72" t="inlineStr">
        <is>
          <t>Baris 40 Total Kas &amp; Setara Kas</t>
        </is>
      </c>
    </row>
    <row r="9" ht="18.95" customHeight="1">
      <c r="A9" s="34" t="inlineStr">
        <is>
          <t>Restricted Cash</t>
        </is>
      </c>
      <c r="B9" s="71" t="n">
        <v>0</v>
      </c>
      <c r="C9" s="71" t="n">
        <v>0</v>
      </c>
      <c r="D9" s="71">
        <f>C9-B9</f>
        <v/>
      </c>
      <c r="E9" s="72" t="inlineStr">
        <is>
          <t>Baris 42</t>
        </is>
      </c>
    </row>
    <row r="10" ht="18.95" customHeight="1">
      <c r="A10" s="34" t="inlineStr">
        <is>
          <t>Piutang usaha - bersih</t>
        </is>
      </c>
      <c r="B10" s="71" t="n">
        <v>12963459099</v>
      </c>
      <c r="C10" s="71" t="n">
        <v>5078206703</v>
      </c>
      <c r="D10" s="71">
        <f>C10-B10</f>
        <v/>
      </c>
      <c r="E10" s="72" t="inlineStr">
        <is>
          <t>Baris 117 (Pihak ketiga 105 + berelasi 113)</t>
        </is>
      </c>
    </row>
    <row r="11" ht="18.95" customHeight="1">
      <c r="A11" s="34" t="inlineStr">
        <is>
          <t>Piutang lain-lain - pihak ketiga</t>
        </is>
      </c>
      <c r="B11" s="71" t="n">
        <v>2088735497</v>
      </c>
      <c r="C11" s="71" t="n">
        <v>3433169417</v>
      </c>
      <c r="D11" s="71">
        <f>C11-B11</f>
        <v/>
      </c>
      <c r="E11" s="72" t="inlineStr">
        <is>
          <t>Baris 127</t>
        </is>
      </c>
    </row>
    <row r="12" ht="18.95" customHeight="1">
      <c r="A12" s="34" t="inlineStr">
        <is>
          <t>Piutang lain-lain - pihak berelasi</t>
        </is>
      </c>
      <c r="B12" s="71" t="n">
        <v>13543645093</v>
      </c>
      <c r="C12" s="71" t="n">
        <v>8950000000</v>
      </c>
      <c r="D12" s="71">
        <f>C12-B12</f>
        <v/>
      </c>
      <c r="E12" s="72" t="inlineStr">
        <is>
          <t>Baris 134</t>
        </is>
      </c>
    </row>
    <row r="13" ht="18.95" customHeight="1">
      <c r="A13" s="34" t="inlineStr">
        <is>
          <t>Pajak dibayar di muka</t>
        </is>
      </c>
      <c r="B13" s="71" t="n">
        <v>281571895</v>
      </c>
      <c r="C13" s="71" t="n">
        <v>257219804</v>
      </c>
      <c r="D13" s="71">
        <f>C13-B13</f>
        <v/>
      </c>
      <c r="E13" s="72" t="inlineStr">
        <is>
          <t>Baris 144</t>
        </is>
      </c>
    </row>
    <row r="14" ht="18.95" customHeight="1">
      <c r="A14" s="34" t="inlineStr">
        <is>
          <t>Uang muka</t>
        </is>
      </c>
      <c r="B14" s="71" t="n">
        <v>327111435</v>
      </c>
      <c r="C14" s="71" t="n">
        <v>1383039636</v>
      </c>
      <c r="D14" s="71">
        <f>C14-B14</f>
        <v/>
      </c>
      <c r="E14" s="72" t="inlineStr">
        <is>
          <t>Baris 159</t>
        </is>
      </c>
    </row>
    <row r="15" ht="18.95" customHeight="1">
      <c r="A15" s="34" t="inlineStr">
        <is>
          <t>Persediaaan</t>
        </is>
      </c>
      <c r="B15" s="71" t="n">
        <v>3825027103</v>
      </c>
      <c r="C15" s="71" t="n">
        <v>1434622080</v>
      </c>
      <c r="D15" s="71">
        <f>C15-B15</f>
        <v/>
      </c>
      <c r="E15" s="72" t="inlineStr">
        <is>
          <t>Baris 187</t>
        </is>
      </c>
    </row>
    <row r="16" ht="18.95" customHeight="1">
      <c r="A16" s="34" t="inlineStr">
        <is>
          <t>Biaya dibayar dimuka</t>
        </is>
      </c>
      <c r="B16" s="71" t="n">
        <v>1171842931</v>
      </c>
      <c r="C16" s="71" t="n">
        <v>960221120</v>
      </c>
      <c r="D16" s="71">
        <f>C16-B16</f>
        <v/>
      </c>
      <c r="E16" s="72" t="inlineStr">
        <is>
          <t>Baris 151</t>
        </is>
      </c>
    </row>
    <row r="17" ht="18.95" customHeight="1">
      <c r="A17" s="34" t="inlineStr">
        <is>
          <t>Persediaan bilogis</t>
        </is>
      </c>
      <c r="B17" s="71" t="n">
        <v>0</v>
      </c>
      <c r="C17" s="71" t="n">
        <v>0</v>
      </c>
      <c r="D17" s="71">
        <f>C17-B17</f>
        <v/>
      </c>
      <c r="E17" s="72" t="inlineStr">
        <is>
          <t>-</t>
        </is>
      </c>
    </row>
    <row r="18" ht="18.95" customHeight="1">
      <c r="A18" s="32" t="inlineStr">
        <is>
          <t>TOTAL ASET LANCAR</t>
        </is>
      </c>
      <c r="B18" s="73">
        <f>SUM(B8:B17)</f>
        <v/>
      </c>
      <c r="C18" s="73">
        <f>SUM(C8:C17)</f>
        <v/>
      </c>
      <c r="D18" s="73">
        <f>C18-B18</f>
        <v/>
      </c>
    </row>
    <row r="19" ht="18.95" customHeight="1">
      <c r="A19" s="33" t="n"/>
      <c r="B19" s="33" t="n"/>
      <c r="C19" s="33" t="n"/>
      <c r="D19" s="33" t="n"/>
    </row>
    <row r="20" ht="18.95" customHeight="1">
      <c r="A20" s="32" t="inlineStr">
        <is>
          <t>ASET TIDAK LANCAR</t>
        </is>
      </c>
      <c r="B20" s="33" t="n"/>
      <c r="C20" s="33" t="n"/>
      <c r="D20" s="33" t="n"/>
    </row>
    <row r="21" ht="18.95" customHeight="1">
      <c r="A21" s="32" t="inlineStr">
        <is>
          <t>Aset tetap</t>
        </is>
      </c>
      <c r="B21" s="33" t="n"/>
      <c r="C21" s="33" t="n"/>
      <c r="D21" s="33" t="n"/>
    </row>
    <row r="22" ht="18.95" customHeight="1">
      <c r="A22" s="34" t="inlineStr">
        <is>
          <t xml:space="preserve">  Harga perolehan</t>
        </is>
      </c>
      <c r="B22" s="71" t="n">
        <v>604765019086</v>
      </c>
      <c r="C22" s="71" t="n">
        <v>537668235420</v>
      </c>
      <c r="D22" s="71">
        <f>C22-B22</f>
        <v/>
      </c>
      <c r="E22" s="72" t="inlineStr">
        <is>
          <t>Baris 275 (termasuk properti investasi)</t>
        </is>
      </c>
    </row>
    <row r="23" ht="18.95" customHeight="1">
      <c r="A23" s="34" t="inlineStr">
        <is>
          <t xml:space="preserve">  Penyusutan</t>
        </is>
      </c>
      <c r="B23" s="71" t="n">
        <v>-38841748680</v>
      </c>
      <c r="C23" s="71" t="n">
        <v>-39986601780</v>
      </c>
      <c r="D23" s="71">
        <f>C23-B23</f>
        <v/>
      </c>
      <c r="E23" s="72" t="inlineStr">
        <is>
          <t>Baris 296</t>
        </is>
      </c>
    </row>
    <row r="24" ht="18.95" customHeight="1">
      <c r="A24" s="32" t="inlineStr">
        <is>
          <t>Net Book Value</t>
        </is>
      </c>
      <c r="B24" s="71">
        <f>SUM(B22:B23)</f>
        <v/>
      </c>
      <c r="C24" s="71">
        <f>SUM(C22:C23)</f>
        <v/>
      </c>
      <c r="D24" s="71">
        <f>C24-B24</f>
        <v/>
      </c>
    </row>
    <row r="25" ht="18.95" customHeight="1">
      <c r="A25" s="34" t="inlineStr">
        <is>
          <t>Uang Muka Pembelian Aset Tetap</t>
        </is>
      </c>
      <c r="B25" s="71" t="n">
        <v>0</v>
      </c>
      <c r="C25" s="71" t="n">
        <v>0</v>
      </c>
      <c r="D25" s="71">
        <f>C25-B25</f>
        <v/>
      </c>
      <c r="E25" s="72" t="inlineStr">
        <is>
          <t>Baris 302</t>
        </is>
      </c>
    </row>
    <row r="26" ht="18.95" customHeight="1">
      <c r="A26" s="34" t="inlineStr">
        <is>
          <t>Estimasi klaim pajak</t>
        </is>
      </c>
      <c r="B26" s="71" t="n">
        <v>75307299</v>
      </c>
      <c r="C26" s="71" t="n">
        <v>0</v>
      </c>
      <c r="D26" s="71">
        <f>C26-B26</f>
        <v/>
      </c>
      <c r="E26" s="72" t="inlineStr">
        <is>
          <t>-</t>
        </is>
      </c>
    </row>
    <row r="27" ht="18.95" customHeight="1">
      <c r="A27" s="34" t="inlineStr">
        <is>
          <t>Piutang pihak berelasi</t>
        </is>
      </c>
      <c r="B27" s="71" t="n">
        <v>0</v>
      </c>
      <c r="C27" s="71" t="n">
        <v>0</v>
      </c>
      <c r="D27" s="71">
        <f>C27-B27</f>
        <v/>
      </c>
      <c r="E27" s="72" t="inlineStr">
        <is>
          <t>Baris 308</t>
        </is>
      </c>
    </row>
    <row r="28" ht="18.95" customHeight="1">
      <c r="A28" s="34" t="inlineStr">
        <is>
          <t>Investment</t>
        </is>
      </c>
      <c r="B28" s="71" t="n">
        <v>67404618000</v>
      </c>
      <c r="C28" s="71" t="n">
        <v>65528008185</v>
      </c>
      <c r="D28" s="71">
        <f>C28-B28</f>
        <v/>
      </c>
      <c r="E28" s="72" t="inlineStr">
        <is>
          <t>Baris 245</t>
        </is>
      </c>
    </row>
    <row r="29" ht="18.95" customHeight="1">
      <c r="A29" s="34" t="inlineStr">
        <is>
          <t>HTI</t>
        </is>
      </c>
      <c r="B29" s="71" t="n">
        <v>0</v>
      </c>
      <c r="C29" s="71" t="n">
        <v>0</v>
      </c>
      <c r="D29" s="71">
        <f>C29-B29</f>
        <v/>
      </c>
      <c r="E29" s="72" t="inlineStr">
        <is>
          <t>-</t>
        </is>
      </c>
    </row>
    <row r="30" ht="18.95" customHeight="1">
      <c r="A30" s="34" t="inlineStr">
        <is>
          <t>Aset pajak tangguhan</t>
        </is>
      </c>
      <c r="B30" s="71" t="n">
        <v>766214497</v>
      </c>
      <c r="C30" s="71" t="n">
        <v>1625452428</v>
      </c>
      <c r="D30" s="71">
        <f>C30-B30</f>
        <v/>
      </c>
      <c r="E30" s="72" t="inlineStr">
        <is>
          <t>Baris 341</t>
        </is>
      </c>
    </row>
    <row r="31" ht="18.95" customHeight="1">
      <c r="A31" s="34" t="inlineStr">
        <is>
          <t>Tanaman Belum Menghasilkan - Bibit Durian</t>
        </is>
      </c>
      <c r="B31" s="71" t="n">
        <v>318750000</v>
      </c>
      <c r="C31" s="71" t="n">
        <v>318750000</v>
      </c>
      <c r="D31" s="71">
        <f>C31-B31</f>
        <v/>
      </c>
      <c r="E31" s="72" t="inlineStr">
        <is>
          <t>Baris 333</t>
        </is>
      </c>
    </row>
    <row r="32" ht="18.95" customHeight="1">
      <c r="A32" s="34" t="inlineStr">
        <is>
          <t>Aset lainnya</t>
        </is>
      </c>
      <c r="B32" s="71" t="n">
        <v>427749144</v>
      </c>
      <c r="C32" s="71" t="n">
        <v>50000000</v>
      </c>
      <c r="D32" s="71">
        <f>C32-B32</f>
        <v/>
      </c>
      <c r="E32" s="72" t="inlineStr">
        <is>
          <t>Baris 346</t>
        </is>
      </c>
    </row>
    <row r="33" ht="18.95" customHeight="1">
      <c r="A33" s="32" t="inlineStr">
        <is>
          <t>TOTAL ASET TIDAK LANCAR</t>
        </is>
      </c>
      <c r="B33" s="73">
        <f>B24+SUM(B25:B32)</f>
        <v/>
      </c>
      <c r="C33" s="73">
        <f>C24+SUM(C25:C32)</f>
        <v/>
      </c>
      <c r="D33" s="73">
        <f>C33-B33</f>
        <v/>
      </c>
    </row>
    <row r="34" ht="18.95" customHeight="1">
      <c r="A34" s="32" t="inlineStr">
        <is>
          <t>TOTAL ASET</t>
        </is>
      </c>
      <c r="B34" s="74">
        <f>B18+B33</f>
        <v/>
      </c>
      <c r="C34" s="74">
        <f>C18+C33</f>
        <v/>
      </c>
      <c r="D34" s="74">
        <f>C34-B34</f>
        <v/>
      </c>
    </row>
    <row r="35" ht="18.95" customHeight="1">
      <c r="A35" s="33" t="n"/>
      <c r="B35" s="33" t="n"/>
      <c r="C35" s="33" t="n"/>
      <c r="D35" s="33" t="n"/>
    </row>
    <row r="36" ht="18.95" customHeight="1">
      <c r="A36" s="30" t="inlineStr">
        <is>
          <t>LIABILITAS</t>
        </is>
      </c>
      <c r="B36" s="31" t="n"/>
      <c r="C36" s="31" t="n"/>
      <c r="D36" s="31" t="n"/>
    </row>
    <row r="37" ht="18.95" customHeight="1">
      <c r="A37" s="32" t="inlineStr">
        <is>
          <t>LIABILITAS JANGKA PENDEK</t>
        </is>
      </c>
      <c r="B37" s="33" t="n"/>
      <c r="C37" s="33" t="n"/>
      <c r="D37" s="33" t="n"/>
    </row>
    <row r="38" ht="18.95" customHeight="1">
      <c r="A38" s="34" t="inlineStr">
        <is>
          <t>Utang bank</t>
        </is>
      </c>
      <c r="B38" s="71" t="n">
        <v>5850000000</v>
      </c>
      <c r="C38" s="71" t="n">
        <v>17500000000</v>
      </c>
      <c r="D38" s="71">
        <f>C38-B38</f>
        <v/>
      </c>
      <c r="E38" s="72" t="inlineStr">
        <is>
          <t>Baris 367</t>
        </is>
      </c>
    </row>
    <row r="39" ht="18.95" customHeight="1">
      <c r="A39" s="34" t="inlineStr">
        <is>
          <t>Utang usaha</t>
        </is>
      </c>
      <c r="B39" s="71" t="n">
        <v>5017737008</v>
      </c>
      <c r="C39" s="71" t="n">
        <v>505654243</v>
      </c>
      <c r="D39" s="71">
        <f>C39-B39</f>
        <v/>
      </c>
      <c r="E39" s="72" t="inlineStr">
        <is>
          <t>Baris 411</t>
        </is>
      </c>
    </row>
    <row r="40" ht="18.95" customHeight="1">
      <c r="A40" s="34" t="inlineStr">
        <is>
          <t>Utang Pajak</t>
        </is>
      </c>
      <c r="B40" s="71" t="n">
        <v>17506015406</v>
      </c>
      <c r="C40" s="71" t="n">
        <v>1114165636</v>
      </c>
      <c r="D40" s="71">
        <f>C40-B40</f>
        <v/>
      </c>
      <c r="E40" s="72" t="inlineStr">
        <is>
          <t>Baris 464</t>
        </is>
      </c>
    </row>
    <row r="41" ht="18.95" customHeight="1">
      <c r="A41" s="34" t="inlineStr">
        <is>
          <t>Uang muka penjualan</t>
        </is>
      </c>
      <c r="B41" s="71" t="n">
        <v>0</v>
      </c>
      <c r="C41" s="71" t="n">
        <v>648000000</v>
      </c>
      <c r="D41" s="71">
        <f>C41-B41</f>
        <v/>
      </c>
      <c r="E41" s="72" t="inlineStr">
        <is>
          <t>Baris 469</t>
        </is>
      </c>
    </row>
    <row r="42" ht="18.95" customHeight="1">
      <c r="A42" s="34" t="inlineStr">
        <is>
          <t>Biaya masih harus dibayar</t>
        </is>
      </c>
      <c r="B42" s="71" t="n">
        <v>1618002579</v>
      </c>
      <c r="C42" s="71" t="n">
        <v>2010524052</v>
      </c>
      <c r="D42" s="71">
        <f>C42-B42</f>
        <v/>
      </c>
      <c r="E42" s="72" t="inlineStr">
        <is>
          <t>Baris 449</t>
        </is>
      </c>
    </row>
    <row r="43" ht="18.95" customHeight="1">
      <c r="A43" s="34" t="inlineStr">
        <is>
          <t>Imbalan kerja janga pendek</t>
        </is>
      </c>
      <c r="B43" s="71" t="n">
        <v>357242000</v>
      </c>
      <c r="C43" s="71" t="n">
        <v>0</v>
      </c>
      <c r="D43" s="71">
        <f>C43-B43</f>
        <v/>
      </c>
      <c r="E43" s="72" t="inlineStr">
        <is>
          <t>-</t>
        </is>
      </c>
    </row>
    <row r="44" ht="18.95" customHeight="1">
      <c r="A44" s="34" t="inlineStr">
        <is>
          <t>Utang lain-lain - pihak ketiga</t>
        </is>
      </c>
      <c r="B44" s="71" t="n">
        <v>1293050662</v>
      </c>
      <c r="C44" s="71" t="n">
        <v>2179697795</v>
      </c>
      <c r="D44" s="71">
        <f>C44-B44</f>
        <v/>
      </c>
      <c r="E44" s="72" t="inlineStr">
        <is>
          <t>Baris 419</t>
        </is>
      </c>
    </row>
    <row r="45" ht="18.95" customHeight="1">
      <c r="A45" s="34" t="inlineStr">
        <is>
          <t>Utang lain-lain - pihak berelasi</t>
        </is>
      </c>
      <c r="B45" s="71" t="n">
        <v>2279605092</v>
      </c>
      <c r="C45" s="71" t="n">
        <v>7644345919</v>
      </c>
      <c r="D45" s="71">
        <f>C45-B45</f>
        <v/>
      </c>
      <c r="E45" s="72" t="inlineStr">
        <is>
          <t>Baris 432</t>
        </is>
      </c>
    </row>
    <row r="46" ht="18.95" customHeight="1">
      <c r="A46" s="34" t="inlineStr">
        <is>
          <t>Utang pihak berelasi - jangka pendek</t>
        </is>
      </c>
      <c r="B46" s="71" t="n">
        <v>0</v>
      </c>
      <c r="C46" s="71" t="n">
        <v>0</v>
      </c>
      <c r="D46" s="71">
        <f>C46-B46</f>
        <v/>
      </c>
      <c r="E46" s="72" t="inlineStr">
        <is>
          <t>Baris 476</t>
        </is>
      </c>
    </row>
    <row r="47" ht="18.95" customHeight="1">
      <c r="A47" s="34" t="inlineStr">
        <is>
          <t>Liabilitas sewa</t>
        </is>
      </c>
      <c r="B47" s="71" t="n">
        <v>1106759005</v>
      </c>
      <c r="C47" s="71" t="n">
        <v>811931047</v>
      </c>
      <c r="D47" s="71">
        <f>C47-B47</f>
        <v/>
      </c>
      <c r="E47" s="72" t="inlineStr">
        <is>
          <t>Baris 474</t>
        </is>
      </c>
    </row>
    <row r="48" ht="18.95" customHeight="1">
      <c r="A48" s="32" t="inlineStr">
        <is>
          <t>TOTAL LIABILITAS JANGKA PENDEK</t>
        </is>
      </c>
      <c r="B48" s="73">
        <f>SUM(B38:B47)</f>
        <v/>
      </c>
      <c r="C48" s="73">
        <f>SUM(C38:C47)</f>
        <v/>
      </c>
      <c r="D48" s="73">
        <f>C48-B48</f>
        <v/>
      </c>
    </row>
    <row r="49" ht="18.95" customHeight="1">
      <c r="A49" s="33" t="n"/>
      <c r="B49" s="33" t="n"/>
      <c r="C49" s="33" t="n"/>
      <c r="D49" s="33" t="n"/>
    </row>
    <row r="50" ht="18.95" customHeight="1">
      <c r="A50" s="32" t="inlineStr">
        <is>
          <t>LIABILITAS JANGKA PANJANG</t>
        </is>
      </c>
      <c r="B50" s="33" t="n"/>
      <c r="C50" s="33" t="n"/>
      <c r="D50" s="33" t="n"/>
    </row>
    <row r="51" ht="18.95" customHeight="1">
      <c r="A51" s="34" t="inlineStr">
        <is>
          <t>Imbalan kerja karyawan</t>
        </is>
      </c>
      <c r="B51" s="71" t="n">
        <v>3901933524</v>
      </c>
      <c r="C51" s="71" t="n">
        <v>2899127504</v>
      </c>
      <c r="D51" s="71">
        <f>C51-B51</f>
        <v/>
      </c>
      <c r="E51" s="72" t="inlineStr">
        <is>
          <t>Baris 489</t>
        </is>
      </c>
    </row>
    <row r="52" ht="18.95" customHeight="1">
      <c r="A52" s="34" t="inlineStr">
        <is>
          <t>Utang bank</t>
        </is>
      </c>
      <c r="B52" s="71" t="n">
        <v>70268000000</v>
      </c>
      <c r="C52" s="71" t="n">
        <v>52987000000</v>
      </c>
      <c r="D52" s="71">
        <f>C52-B52</f>
        <v/>
      </c>
      <c r="E52" s="72" t="inlineStr">
        <is>
          <t>Baris 486</t>
        </is>
      </c>
    </row>
    <row r="53" ht="18.95" customHeight="1">
      <c r="A53" s="34" t="inlineStr">
        <is>
          <t>Utang pihak berelasi</t>
        </is>
      </c>
      <c r="B53" s="71" t="n">
        <v>106524999999</v>
      </c>
      <c r="C53" s="71" t="n">
        <v>185424812622</v>
      </c>
      <c r="D53" s="71">
        <f>C53-B53</f>
        <v/>
      </c>
      <c r="E53" s="72" t="inlineStr">
        <is>
          <t>Baris 531</t>
        </is>
      </c>
    </row>
    <row r="54" ht="18.95" customHeight="1">
      <c r="A54" s="34" t="inlineStr">
        <is>
          <t>Liabilitas sewa</t>
        </is>
      </c>
      <c r="B54" s="71" t="n">
        <v>311982223</v>
      </c>
      <c r="C54" s="71" t="n">
        <v>121640061</v>
      </c>
      <c r="D54" s="71">
        <f>C54-B54</f>
        <v/>
      </c>
      <c r="E54" s="72" t="inlineStr">
        <is>
          <t>Baris 536</t>
        </is>
      </c>
    </row>
    <row r="55" ht="18.95" customHeight="1">
      <c r="A55" s="32" t="inlineStr">
        <is>
          <t>TOTAL LIABILITAS JANGKA PANJANG</t>
        </is>
      </c>
      <c r="B55" s="73">
        <f>SUM(B51:B54)</f>
        <v/>
      </c>
      <c r="C55" s="73">
        <f>SUM(C51:C54)</f>
        <v/>
      </c>
      <c r="D55" s="73">
        <f>C55-B55</f>
        <v/>
      </c>
    </row>
    <row r="56" ht="18.95" customHeight="1">
      <c r="A56" s="32" t="inlineStr">
        <is>
          <t>TOTAL LIABILITAS</t>
        </is>
      </c>
      <c r="B56" s="73">
        <f>B48+B55</f>
        <v/>
      </c>
      <c r="C56" s="73">
        <f>C48+C55</f>
        <v/>
      </c>
      <c r="D56" s="73">
        <f>C56-B56</f>
        <v/>
      </c>
    </row>
    <row r="57" ht="18.95" customHeight="1">
      <c r="A57" s="33" t="n"/>
      <c r="B57" s="33" t="n"/>
      <c r="C57" s="33" t="n"/>
      <c r="D57" s="33" t="n"/>
    </row>
    <row r="58" ht="18.95" customHeight="1">
      <c r="A58" s="30" t="inlineStr">
        <is>
          <t>EKUITAS</t>
        </is>
      </c>
      <c r="B58" s="31" t="n"/>
      <c r="C58" s="31" t="n"/>
      <c r="D58" s="31" t="n"/>
    </row>
    <row r="59" ht="18.95" customHeight="1">
      <c r="A59" s="34" t="inlineStr">
        <is>
          <t>Modal disetor</t>
        </is>
      </c>
      <c r="B59" s="71" t="n">
        <v>20000000000</v>
      </c>
      <c r="C59" s="71" t="n">
        <v>20000000000</v>
      </c>
      <c r="D59" s="71">
        <f>C59-B59</f>
        <v/>
      </c>
      <c r="E59" s="72" t="inlineStr">
        <is>
          <t>Baris 565</t>
        </is>
      </c>
    </row>
    <row r="60" ht="18.95" customHeight="1">
      <c r="A60" s="34" t="inlineStr">
        <is>
          <t>Laba/ (Rugi) belum terealisasi - PT Colorpak Indonesia Tbk</t>
        </is>
      </c>
      <c r="B60" s="71" t="n">
        <v>11498752001</v>
      </c>
      <c r="C60" s="71" t="n">
        <v>9792104501</v>
      </c>
      <c r="D60" s="71">
        <f>C60-B60</f>
        <v/>
      </c>
      <c r="E60" s="72" t="inlineStr">
        <is>
          <t>Baris 573</t>
        </is>
      </c>
    </row>
    <row r="61" ht="18.95" customHeight="1">
      <c r="A61" s="34" t="inlineStr">
        <is>
          <t>Tambahan modal di setor</t>
        </is>
      </c>
      <c r="B61" s="71" t="n">
        <v>8000000000</v>
      </c>
      <c r="C61" s="71" t="n">
        <v>8000000000</v>
      </c>
      <c r="D61" s="71">
        <f>C61-B61</f>
        <v/>
      </c>
      <c r="E61" s="72" t="inlineStr">
        <is>
          <t>Baris 546</t>
        </is>
      </c>
    </row>
    <row r="62" ht="18.95" customHeight="1">
      <c r="A62" s="34" t="inlineStr">
        <is>
          <t>Stress</t>
        </is>
      </c>
      <c r="B62" s="71" t="n">
        <v>256473449</v>
      </c>
      <c r="C62" s="71" t="n">
        <v>0</v>
      </c>
      <c r="D62" s="71">
        <f>C62-B62</f>
        <v/>
      </c>
      <c r="E62" s="72" t="inlineStr">
        <is>
          <t>-</t>
        </is>
      </c>
    </row>
    <row r="63" ht="18.95" customHeight="1">
      <c r="A63" s="32" t="inlineStr">
        <is>
          <t>Retained earning</t>
        </is>
      </c>
      <c r="B63" s="33" t="n"/>
      <c r="C63" s="33" t="n"/>
      <c r="D63" s="33" t="n"/>
    </row>
    <row r="64" ht="18.95" customHeight="1">
      <c r="A64" s="34" t="inlineStr">
        <is>
          <t xml:space="preserve">  Beginning balance</t>
        </is>
      </c>
      <c r="B64" s="71" t="n">
        <v>192833795710</v>
      </c>
      <c r="C64" s="71" t="n">
        <v>187154813818</v>
      </c>
      <c r="D64" s="71">
        <f>C64-B64</f>
        <v/>
      </c>
      <c r="E64" s="72" t="inlineStr">
        <is>
          <t>Baris 576</t>
        </is>
      </c>
    </row>
    <row r="65" ht="18.95" customHeight="1">
      <c r="A65" s="34" t="inlineStr">
        <is>
          <t xml:space="preserve">  Current earning</t>
        </is>
      </c>
      <c r="B65" s="71" t="n">
        <v>115230255592</v>
      </c>
      <c r="C65" s="71" t="n">
        <v>5678981891</v>
      </c>
      <c r="D65" s="71">
        <f>C65-B65</f>
        <v/>
      </c>
      <c r="E65" s="72" t="inlineStr">
        <is>
          <t>Baris 592</t>
        </is>
      </c>
    </row>
    <row r="66" ht="18.95" customHeight="1">
      <c r="A66" s="32" t="inlineStr">
        <is>
          <t xml:space="preserve">  Ending balance</t>
        </is>
      </c>
      <c r="B66" s="71">
        <f>SUM(B64:B65)</f>
        <v/>
      </c>
      <c r="C66" s="71">
        <f>SUM(C64:C65)</f>
        <v/>
      </c>
      <c r="D66" s="71">
        <f>C66-B66</f>
        <v/>
      </c>
    </row>
    <row r="67" ht="18.95" customHeight="1">
      <c r="A67" s="34" t="inlineStr">
        <is>
          <t>NCI</t>
        </is>
      </c>
      <c r="B67" s="71" t="n">
        <v>154925822676</v>
      </c>
      <c r="C67" s="71" t="n">
        <v>106430825047</v>
      </c>
      <c r="D67" s="71">
        <f>C67-B67</f>
        <v/>
      </c>
      <c r="E67" s="72" t="inlineStr">
        <is>
          <t>Baris 550</t>
        </is>
      </c>
    </row>
    <row r="68" ht="18.95" customHeight="1">
      <c r="A68" s="32" t="inlineStr">
        <is>
          <t>TOTAL EKUITAS</t>
        </is>
      </c>
      <c r="B68" s="73">
        <f>B59+B60+B61+B62+B66+B67</f>
        <v/>
      </c>
      <c r="C68" s="73">
        <f>C59+C60+C61+C62+C66+C67</f>
        <v/>
      </c>
      <c r="D68" s="73">
        <f>C68-B68</f>
        <v/>
      </c>
    </row>
    <row r="69" ht="18.95" customHeight="1">
      <c r="A69" s="32" t="inlineStr">
        <is>
          <t>TOTAL LIABILITAS DAN EKUITAS</t>
        </is>
      </c>
      <c r="B69" s="74">
        <f>B56+B68</f>
        <v/>
      </c>
      <c r="C69" s="74">
        <f>C56+C68</f>
        <v/>
      </c>
      <c r="D69" s="74">
        <f>C69-B69</f>
        <v/>
      </c>
    </row>
    <row r="71">
      <c r="A71" s="75" t="inlineStr">
        <is>
          <t>Cek: Total Liabilitas &amp; Ekuitas - Total Aset (harus 0)</t>
        </is>
      </c>
      <c r="B71" s="76">
        <f>B69-B34</f>
        <v/>
      </c>
      <c r="C71" s="76">
        <f>C69-C34</f>
        <v/>
      </c>
    </row>
    <row r="73">
      <c r="A73" s="75" t="inlineStr">
        <is>
          <t>Sumber data:</t>
        </is>
      </c>
    </row>
    <row r="74">
      <c r="A74" s="77" t="inlineStr">
        <is>
          <t>• 31-Dec-24: template.xlsx, sheet Neraca kolom 31-Dec-24.</t>
        </is>
      </c>
    </row>
    <row r="75">
      <c r="A75" s="77" t="inlineStr">
        <is>
          <t>• 31-Dec-23: WS_Consol_PT_Bukit_Jaya_Semesta_2023.xlsx › 'WBS WPL Consol' kolom AH (CONSOLIDATED, Per Audit, 31-Des-2023).</t>
        </is>
      </c>
    </row>
    <row r="76">
      <c r="A76" s="77" t="inlineStr">
        <is>
          <t>• Kolom "Selisih / Perubahan" = 2023 - 2024 (dipakai langsung oleh Kertas Kerja Cash Flow).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topLeftCell="A26" workbookViewId="0">
      <selection activeCell="B43" sqref="B43"/>
    </sheetView>
  </sheetViews>
  <sheetFormatPr baseColWidth="8" defaultRowHeight="15"/>
  <cols>
    <col width="45" customWidth="1" min="1" max="1"/>
    <col width="22" customWidth="1" min="2" max="4"/>
    <col width="22" customWidth="1" min="3" max="3"/>
    <col width="22" customWidth="1" min="4" max="4"/>
    <col width="42" customWidth="1" min="5" max="5"/>
  </cols>
  <sheetData>
    <row r="1" ht="18.75" customHeight="1">
      <c r="A1" s="1" t="inlineStr">
        <is>
          <t>PT BUKIT JAYA SEMESTA</t>
        </is>
      </c>
    </row>
    <row r="2">
      <c r="A2" s="2" t="inlineStr">
        <is>
          <t>LAPORAN LABA RUGI DAN PENDAPATAN KOMPREHENSIF LAIN</t>
        </is>
      </c>
    </row>
    <row r="3">
      <c r="A3" s="2" t="inlineStr">
        <is>
          <t>Untuk Tahun yang Berakhir pada 31 Desember 2024 dan 2023</t>
        </is>
      </c>
    </row>
    <row r="5" ht="24.95" customHeight="1">
      <c r="A5" s="5" t="inlineStr">
        <is>
          <t>Account / Pos Laba Rugi</t>
        </is>
      </c>
      <c r="B5" s="4" t="inlineStr">
        <is>
          <t>31-Dec-24</t>
        </is>
      </c>
      <c r="C5" s="4" t="inlineStr">
        <is>
          <t>31-Dec-23</t>
        </is>
      </c>
      <c r="D5" s="4" t="inlineStr">
        <is>
          <t>Selisih</t>
        </is>
      </c>
      <c r="E5" s="4" t="inlineStr">
        <is>
          <t>Referensi 2023 (WBS WPL Consol)</t>
        </is>
      </c>
    </row>
    <row r="6" ht="18.95" customHeight="1">
      <c r="A6" s="34" t="inlineStr">
        <is>
          <t>Penjualan</t>
        </is>
      </c>
      <c r="B6" s="71" t="n">
        <v>92234715659</v>
      </c>
      <c r="C6" s="71" t="n">
        <v>64437082090</v>
      </c>
      <c r="D6" s="71">
        <f>C6-B6</f>
        <v/>
      </c>
      <c r="E6" s="72" t="inlineStr">
        <is>
          <t>Baris 636</t>
        </is>
      </c>
    </row>
    <row r="7" ht="18.95" customHeight="1">
      <c r="A7" s="34" t="inlineStr">
        <is>
          <t>Beban Pokok Penjualan</t>
        </is>
      </c>
      <c r="B7" s="71" t="n">
        <v>36602877527</v>
      </c>
      <c r="C7" s="71" t="n">
        <v>17188336641</v>
      </c>
      <c r="D7" s="71">
        <f>C7-B7</f>
        <v/>
      </c>
      <c r="E7" s="72" t="inlineStr">
        <is>
          <t>Baris 701</t>
        </is>
      </c>
    </row>
    <row r="8" ht="18.95" customHeight="1">
      <c r="A8" s="32" t="inlineStr">
        <is>
          <t>Total Laba Kotor</t>
        </is>
      </c>
      <c r="B8" s="73">
        <f>B6-B7</f>
        <v/>
      </c>
      <c r="C8" s="73">
        <f>C6-C7</f>
        <v/>
      </c>
      <c r="D8" s="73">
        <f>C8-B8</f>
        <v/>
      </c>
    </row>
    <row r="9" ht="18.95" customHeight="1">
      <c r="A9" s="33" t="n"/>
      <c r="B9" s="33" t="n"/>
      <c r="C9" s="33" t="n"/>
      <c r="D9" s="33" t="n"/>
    </row>
    <row r="10" ht="18.95" customHeight="1">
      <c r="A10" s="32" t="inlineStr">
        <is>
          <t>Operating Expense:</t>
        </is>
      </c>
      <c r="B10" s="33" t="n"/>
      <c r="C10" s="33" t="n"/>
      <c r="D10" s="33" t="n"/>
    </row>
    <row r="11" ht="18.95" customHeight="1">
      <c r="A11" s="34" t="inlineStr">
        <is>
          <t xml:space="preserve">  Beban Usaha</t>
        </is>
      </c>
      <c r="B11" s="71" t="n">
        <v>41184649120</v>
      </c>
      <c r="C11" s="71" t="n">
        <v>46412531236</v>
      </c>
      <c r="D11" s="71">
        <f>C11-B11</f>
        <v/>
      </c>
      <c r="E11" s="72" t="inlineStr">
        <is>
          <t>Baris 773</t>
        </is>
      </c>
    </row>
    <row r="12" ht="18.95" customHeight="1">
      <c r="A12" s="32" t="inlineStr">
        <is>
          <t>Total Operating Expense</t>
        </is>
      </c>
      <c r="B12" s="73">
        <f>B11</f>
        <v/>
      </c>
      <c r="C12" s="73">
        <f>C11</f>
        <v/>
      </c>
      <c r="D12" s="73">
        <f>C12-B12</f>
        <v/>
      </c>
    </row>
    <row r="13" ht="18.95" customHeight="1">
      <c r="A13" s="32" t="inlineStr">
        <is>
          <t>Operating Income</t>
        </is>
      </c>
      <c r="B13" s="73">
        <f>B8-B12</f>
        <v/>
      </c>
      <c r="C13" s="73">
        <f>C8-C12</f>
        <v/>
      </c>
      <c r="D13" s="73">
        <f>C13-B13</f>
        <v/>
      </c>
    </row>
    <row r="14" ht="18.95" customHeight="1">
      <c r="A14" s="33" t="n"/>
      <c r="B14" s="33" t="n"/>
      <c r="C14" s="33" t="n"/>
      <c r="D14" s="33" t="n"/>
    </row>
    <row r="15" ht="18.95" customHeight="1">
      <c r="A15" s="32" t="inlineStr">
        <is>
          <t>Other Income (Expense):</t>
        </is>
      </c>
      <c r="B15" s="33" t="n"/>
      <c r="C15" s="33" t="n"/>
      <c r="D15" s="33" t="n"/>
    </row>
    <row r="16" ht="18.95" customHeight="1">
      <c r="A16" s="34" t="inlineStr">
        <is>
          <t xml:space="preserve">  Pendapatan Bunga</t>
        </is>
      </c>
      <c r="B16" s="71" t="n">
        <v>10165418608</v>
      </c>
      <c r="C16" s="71" t="n">
        <v>7264778074</v>
      </c>
      <c r="D16" s="71">
        <f>C16-B16</f>
        <v/>
      </c>
      <c r="E16" s="72" t="inlineStr">
        <is>
          <t>Baris 783 (pendapatan keuangan: bunga &amp; dividen)</t>
        </is>
      </c>
    </row>
    <row r="17" ht="18.95" customHeight="1">
      <c r="A17" s="34" t="inlineStr">
        <is>
          <t xml:space="preserve">  Finance Expense</t>
        </is>
      </c>
      <c r="B17" s="71" t="n">
        <v>-2443136567</v>
      </c>
      <c r="C17" s="71" t="n">
        <v>-2116114767</v>
      </c>
      <c r="D17" s="71">
        <f>C17-B17</f>
        <v/>
      </c>
      <c r="E17" s="72" t="inlineStr">
        <is>
          <t>Baris 794</t>
        </is>
      </c>
    </row>
    <row r="18" ht="18.95" customHeight="1">
      <c r="A18" s="34" t="inlineStr">
        <is>
          <t xml:space="preserve">  Lain-lain Net</t>
        </is>
      </c>
      <c r="B18" s="71" t="n">
        <v>98866274584</v>
      </c>
      <c r="C18" s="71" t="n">
        <v>312115524</v>
      </c>
      <c r="D18" s="71">
        <f>C18-B18</f>
        <v/>
      </c>
      <c r="E18" s="72" t="inlineStr">
        <is>
          <t>Baris 821</t>
        </is>
      </c>
    </row>
    <row r="19" ht="18.95" customHeight="1">
      <c r="A19" s="32" t="inlineStr">
        <is>
          <t>Total Other Income (Expense)</t>
        </is>
      </c>
      <c r="B19" s="73">
        <f>SUM(B16:B18)</f>
        <v/>
      </c>
      <c r="C19" s="73">
        <f>SUM(C16:C18)</f>
        <v/>
      </c>
      <c r="D19" s="73">
        <f>C19-B19</f>
        <v/>
      </c>
    </row>
    <row r="20" ht="18.95" customHeight="1">
      <c r="A20" s="32" t="inlineStr">
        <is>
          <t>Income Before Tax</t>
        </is>
      </c>
      <c r="B20" s="73">
        <f>B13+B19</f>
        <v/>
      </c>
      <c r="C20" s="73">
        <f>C13+C19</f>
        <v/>
      </c>
      <c r="D20" s="73">
        <f>C20-B20</f>
        <v/>
      </c>
    </row>
    <row r="21" ht="18.95" customHeight="1">
      <c r="A21" s="33" t="n"/>
      <c r="B21" s="33" t="n"/>
      <c r="C21" s="33" t="n"/>
      <c r="D21" s="33" t="n"/>
    </row>
    <row r="22" ht="18.95" customHeight="1">
      <c r="A22" s="32" t="inlineStr">
        <is>
          <t>Taksiran Pajak Penghasilan:</t>
        </is>
      </c>
      <c r="B22" s="33" t="n"/>
      <c r="C22" s="33" t="n"/>
      <c r="D22" s="33" t="n"/>
    </row>
    <row r="23" ht="18.95" customHeight="1">
      <c r="A23" s="34" t="inlineStr">
        <is>
          <t xml:space="preserve">  Tahun Berjalan</t>
        </is>
      </c>
      <c r="B23" s="71" t="n">
        <v>-1696705500</v>
      </c>
      <c r="C23" s="71" t="n">
        <v>-960889</v>
      </c>
      <c r="D23" s="71">
        <f>C23-B23</f>
        <v/>
      </c>
      <c r="E23" s="72" t="inlineStr">
        <is>
          <t>Baris 833</t>
        </is>
      </c>
    </row>
    <row r="24" ht="18.95" customHeight="1">
      <c r="A24" s="34" t="inlineStr">
        <is>
          <t xml:space="preserve">  Ditangguhkan</t>
        </is>
      </c>
      <c r="B24" s="71" t="n">
        <v>-1949871786</v>
      </c>
      <c r="C24" s="71" t="n">
        <v>-1384371756</v>
      </c>
      <c r="D24" s="71">
        <f>C24-B24</f>
        <v/>
      </c>
      <c r="E24" s="72" t="inlineStr">
        <is>
          <t>Baris 834</t>
        </is>
      </c>
    </row>
    <row r="25" ht="18.95" customHeight="1">
      <c r="A25" s="32" t="inlineStr">
        <is>
          <t>Tax Expense</t>
        </is>
      </c>
      <c r="B25" s="73">
        <f>SUM(B23:B24)</f>
        <v/>
      </c>
      <c r="C25" s="73">
        <f>SUM(C23:C24)</f>
        <v/>
      </c>
      <c r="D25" s="73">
        <f>C25-B25</f>
        <v/>
      </c>
    </row>
    <row r="26" ht="18.95" customHeight="1">
      <c r="A26" s="32" t="inlineStr">
        <is>
          <t>Net Income (Laba Bersih)</t>
        </is>
      </c>
      <c r="B26" s="74">
        <f>B20+B25</f>
        <v/>
      </c>
      <c r="C26" s="74">
        <f>C20+C25</f>
        <v/>
      </c>
      <c r="D26" s="74">
        <f>C26-B26</f>
        <v/>
      </c>
    </row>
    <row r="29">
      <c r="A29" s="53" t="inlineStr">
        <is>
          <t>PENGHASILAN KOMPREHENSIF LAIN</t>
        </is>
      </c>
    </row>
    <row r="30">
      <c r="A30" s="56" t="inlineStr">
        <is>
          <t>Selisih laba rugi aktuarial atas imbalan kerja</t>
        </is>
      </c>
      <c r="B30" s="78" t="n">
        <v>-132361128</v>
      </c>
      <c r="C30" s="78" t="n">
        <v>72787959</v>
      </c>
      <c r="D30" s="79">
        <f>C30-B30</f>
        <v/>
      </c>
      <c r="E30" s="72" t="inlineStr">
        <is>
          <t>Baris 847</t>
        </is>
      </c>
    </row>
    <row r="31">
      <c r="A31" s="56" t="inlineStr">
        <is>
          <t>Efek pajak terkait - imbalan kerja</t>
        </is>
      </c>
      <c r="B31" s="80" t="n">
        <v>29119448.28</v>
      </c>
      <c r="C31" s="80" t="n">
        <v>69583345</v>
      </c>
      <c r="D31" s="81">
        <f>C31-B31</f>
        <v/>
      </c>
      <c r="E31" s="72" t="inlineStr">
        <is>
          <t>Baris 848</t>
        </is>
      </c>
    </row>
    <row r="32">
      <c r="A32" s="75" t="inlineStr">
        <is>
          <t>Total Penghasilan Komprehensif Lain</t>
        </is>
      </c>
      <c r="B32" s="82">
        <f>SUM(B30:B31)</f>
        <v/>
      </c>
      <c r="C32" s="82">
        <f>SUM(C30:C31)</f>
        <v/>
      </c>
      <c r="D32" s="79">
        <f>C32-B32</f>
        <v/>
      </c>
    </row>
    <row r="33">
      <c r="B33" s="82" t="n"/>
      <c r="C33" s="82" t="n"/>
    </row>
    <row r="34">
      <c r="A34" s="58" t="inlineStr">
        <is>
          <t>TOTAL PENGHASILAN KOMPREHENSIF LAIN</t>
        </is>
      </c>
      <c r="B34" s="76">
        <f>B26+B32</f>
        <v/>
      </c>
      <c r="C34" s="76">
        <f>C26+C32</f>
        <v/>
      </c>
      <c r="D34" s="83">
        <f>C34-B34</f>
        <v/>
      </c>
    </row>
    <row r="36">
      <c r="A36" s="32" t="inlineStr">
        <is>
          <t>NONCONTROLLING INEREST (PL)</t>
        </is>
      </c>
      <c r="B36" s="84" t="n">
        <v>2069518579.991412</v>
      </c>
      <c r="C36" s="84" t="n">
        <v>-636305110</v>
      </c>
      <c r="D36" s="85">
        <f>C36-B36</f>
        <v/>
      </c>
      <c r="E36" s="72" t="inlineStr">
        <is>
          <t>Baris 854</t>
        </is>
      </c>
    </row>
    <row r="37">
      <c r="A37" s="59" t="n"/>
      <c r="B37" s="86" t="n"/>
      <c r="C37" s="86" t="n"/>
    </row>
    <row r="38">
      <c r="A38" s="59" t="inlineStr">
        <is>
          <t>TOTAL NETO TAHUN BERJALAN - Mayoritas</t>
        </is>
      </c>
      <c r="B38" s="71">
        <f>B34-B36</f>
        <v/>
      </c>
      <c r="C38" s="71">
        <f>C34-C36</f>
        <v/>
      </c>
      <c r="D38" s="64">
        <f>C38-B38</f>
        <v/>
      </c>
    </row>
    <row r="39">
      <c r="B39" s="71" t="n"/>
      <c r="C39" s="71" t="n"/>
    </row>
    <row r="40">
      <c r="A40" s="32" t="inlineStr">
        <is>
          <t>NONCONTROLLING INEREST (PL)</t>
        </is>
      </c>
      <c r="B40" s="71" t="n"/>
      <c r="C40" s="71" t="n"/>
    </row>
    <row r="41">
      <c r="A41" s="34" t="inlineStr">
        <is>
          <t>OCI</t>
        </is>
      </c>
      <c r="B41" s="71" t="n">
        <v>-17753207.7550615</v>
      </c>
      <c r="C41" s="71" t="n">
        <v>14557592</v>
      </c>
      <c r="D41" s="64">
        <f>C41-B41</f>
        <v/>
      </c>
      <c r="E41" s="72" t="inlineStr">
        <is>
          <t>Baris 859</t>
        </is>
      </c>
    </row>
    <row r="42">
      <c r="A42" s="34" t="inlineStr">
        <is>
          <t>Pajak terkait</t>
        </is>
      </c>
      <c r="B42" s="84" t="n">
        <v>3905705.734433494</v>
      </c>
      <c r="C42" s="84" t="n">
        <v>-3202670</v>
      </c>
      <c r="D42" s="85">
        <f>C42-B42</f>
        <v/>
      </c>
      <c r="E42" s="72" t="inlineStr">
        <is>
          <t>Baris 860</t>
        </is>
      </c>
    </row>
    <row r="43">
      <c r="A43" s="75" t="inlineStr">
        <is>
          <t>Total NCI atas OCI</t>
        </is>
      </c>
      <c r="B43" s="87">
        <f>SUM(B41:B42)</f>
        <v/>
      </c>
      <c r="C43" s="87">
        <f>SUM(C41:C42)</f>
        <v/>
      </c>
      <c r="D43" s="88">
        <f>C43-B43</f>
        <v/>
      </c>
    </row>
    <row r="44">
      <c r="B44" s="71" t="n"/>
      <c r="C44" s="71" t="n"/>
    </row>
    <row r="45">
      <c r="A45" s="75" t="inlineStr">
        <is>
          <t>LABA KOMPREHENSIF - Mayoritas (Current Earning)</t>
        </is>
      </c>
      <c r="B45" s="76">
        <f>B38-B43</f>
        <v/>
      </c>
      <c r="C45" s="76">
        <f>C38-C43</f>
        <v/>
      </c>
      <c r="D45" s="83">
        <f>C45-B45</f>
        <v/>
      </c>
    </row>
    <row r="48">
      <c r="A48" s="75" t="inlineStr">
        <is>
          <t>Selisih Laba Bersih vs Laba Komprehensif Mayoritas</t>
        </is>
      </c>
      <c r="B48" s="76">
        <f>B26-B45</f>
        <v/>
      </c>
      <c r="C48" s="76">
        <f>C26-C45</f>
        <v/>
      </c>
      <c r="D48" s="83">
        <f>C48-B48</f>
        <v/>
      </c>
    </row>
    <row r="50">
      <c r="A50" s="75" t="inlineStr">
        <is>
          <t>Cek ke Neraca: Current Earning (Neraca) - Laba Komprehensif Mayoritas</t>
        </is>
      </c>
      <c r="B50" s="83">
        <f>'Neraca (Balance Sheet)'!B65-B45</f>
        <v/>
      </c>
      <c r="C50" s="83">
        <f>'Neraca (Balance Sheet)'!C65-C45</f>
        <v/>
      </c>
    </row>
    <row r="52">
      <c r="A52" s="77" t="inlineStr">
        <is>
          <t>Sumber data: 2024 dari template.xlsx (kolom 31-Dec-24); 2023 dari WS_Consol_PT_Bukit_Jaya_Semesta_2023.xlsx › 'WBS WPL Consol' kolom AH (CONSOLIDATED, Per Audit, 31-Des-2023).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2026-09-11T04:25:08Z</dcterms:created>
  <dcterms:modified xsi:type="dcterms:W3CDTF">2026-09-24T08:11:17Z</dcterms:modified>
  <cp:lastModifiedBy>Richard Kandego</cp:lastModifiedBy>
</cp:coreProperties>
</file>